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明细" sheetId="1" state="visible" r:id="rId1"/>
    <sheet xmlns:r="http://schemas.openxmlformats.org/officeDocument/2006/relationships" name="汇总" sheetId="2" state="visible" r:id="rId2"/>
  </sheets>
  <definedNames>
    <definedName name="_xlnm._FilterDatabase" localSheetId="0" hidden="1">'销售明细'!$A$1:$O$201</definedName>
    <definedName name="_xlnm._FilterDatabase" localSheetId="1" hidden="1">'汇总'!$A$1:$C$6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2">
    <border>
      <left/>
      <right/>
      <top/>
      <bottom/>
      <diagonal/>
    </border>
    <border>
      <bottom style="thin">
        <color rgb="00B7C3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164" fontId="0" fillId="0" borderId="0" pivotButton="0" quotePrefix="0" xfId="0"/>
    <xf numFmtId="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5" customWidth="1" min="9" max="9"/>
    <col width="13" customWidth="1" min="10" max="10"/>
    <col width="14" customWidth="1" min="11" max="11"/>
    <col width="23" customWidth="1" min="12" max="12"/>
    <col width="12" customWidth="1" min="13" max="13"/>
    <col width="24" customWidth="1" min="14" max="14"/>
    <col width="12" customWidth="1" min="15" max="15"/>
  </cols>
  <sheetData>
    <row r="1">
      <c r="A1" s="1" t="inlineStr">
        <is>
          <t>record_id</t>
        </is>
      </c>
      <c r="B1" s="1" t="inlineStr">
        <is>
          <t>order_no</t>
        </is>
      </c>
      <c r="C1" s="1" t="inlineStr">
        <is>
          <t>customer_name</t>
        </is>
      </c>
      <c r="D1" s="1" t="inlineStr">
        <is>
          <t>region</t>
        </is>
      </c>
      <c r="E1" s="1" t="inlineStr">
        <is>
          <t>category</t>
        </is>
      </c>
      <c r="F1" s="1" t="inlineStr">
        <is>
          <t>order_date</t>
        </is>
      </c>
      <c r="G1" s="1" t="inlineStr">
        <is>
          <t>quantity</t>
        </is>
      </c>
      <c r="H1" s="1" t="inlineStr">
        <is>
          <t>unit_price</t>
        </is>
      </c>
      <c r="I1" s="1" t="inlineStr">
        <is>
          <t>discount_rate</t>
        </is>
      </c>
      <c r="J1" s="1" t="inlineStr">
        <is>
          <t>sales_owner</t>
        </is>
      </c>
      <c r="K1" s="1" t="inlineStr">
        <is>
          <t>gross_amount</t>
        </is>
      </c>
      <c r="L1" s="1" t="inlineStr">
        <is>
          <t>discount_amount</t>
        </is>
      </c>
      <c r="M1" s="1" t="inlineStr">
        <is>
          <t>net_amount</t>
        </is>
      </c>
      <c r="N1" s="1" t="inlineStr">
        <is>
          <t>risk_level</t>
        </is>
      </c>
      <c r="O1" s="1" t="inlineStr">
        <is>
          <t>remark</t>
        </is>
      </c>
    </row>
    <row r="2">
      <c r="F2" s="2" t="n"/>
      <c r="H2" s="3" t="n"/>
      <c r="I2" s="4" t="n"/>
      <c r="K2" s="3">
        <f>G2*H2</f>
        <v/>
      </c>
      <c r="L2" s="3">
        <f>K2*IFERROR(I2,0)</f>
        <v/>
      </c>
      <c r="M2" s="3">
        <f>K2-L2</f>
        <v/>
      </c>
      <c r="N2">
        <f>IF(OR(G2=0,I2&gt;0.15),"复核","正常")</f>
        <v/>
      </c>
    </row>
    <row r="3">
      <c r="F3" s="2" t="n"/>
      <c r="H3" s="3" t="n"/>
      <c r="I3" s="4" t="n"/>
      <c r="K3" s="3">
        <f>G3*H3</f>
        <v/>
      </c>
      <c r="L3" s="3">
        <f>K3*IFERROR(I3,0)</f>
        <v/>
      </c>
      <c r="M3" s="3">
        <f>K3-L3</f>
        <v/>
      </c>
      <c r="N3">
        <f>IF(OR(G3=0,I3&gt;0.15),"复核","正常")</f>
        <v/>
      </c>
    </row>
    <row r="4">
      <c r="F4" s="2" t="n"/>
      <c r="H4" s="3" t="n"/>
      <c r="I4" s="4" t="n"/>
      <c r="K4" s="3">
        <f>G4*H4</f>
        <v/>
      </c>
      <c r="L4" s="3">
        <f>K4*IFERROR(I4,0)</f>
        <v/>
      </c>
      <c r="M4" s="3">
        <f>K4-L4</f>
        <v/>
      </c>
      <c r="N4">
        <f>IF(OR(G4=0,I4&gt;0.15),"复核","正常")</f>
        <v/>
      </c>
    </row>
    <row r="5">
      <c r="F5" s="2" t="n"/>
      <c r="H5" s="3" t="n"/>
      <c r="I5" s="4" t="n"/>
      <c r="K5" s="3">
        <f>G5*H5</f>
        <v/>
      </c>
      <c r="L5" s="3">
        <f>K5*IFERROR(I5,0)</f>
        <v/>
      </c>
      <c r="M5" s="3">
        <f>K5-L5</f>
        <v/>
      </c>
      <c r="N5">
        <f>IF(OR(G5=0,I5&gt;0.15),"复核","正常")</f>
        <v/>
      </c>
    </row>
    <row r="6">
      <c r="F6" s="2" t="n"/>
      <c r="H6" s="3" t="n"/>
      <c r="I6" s="4" t="n"/>
      <c r="K6" s="3">
        <f>G6*H6</f>
        <v/>
      </c>
      <c r="L6" s="3">
        <f>K6*IFERROR(I6,0)</f>
        <v/>
      </c>
      <c r="M6" s="3">
        <f>K6-L6</f>
        <v/>
      </c>
      <c r="N6">
        <f>IF(OR(G6=0,I6&gt;0.15),"复核","正常")</f>
        <v/>
      </c>
    </row>
    <row r="7">
      <c r="F7" s="2" t="n"/>
      <c r="H7" s="3" t="n"/>
      <c r="I7" s="4" t="n"/>
      <c r="K7" s="3">
        <f>G7*H7</f>
        <v/>
      </c>
      <c r="L7" s="3">
        <f>K7*IFERROR(I7,0)</f>
        <v/>
      </c>
      <c r="M7" s="3">
        <f>K7-L7</f>
        <v/>
      </c>
      <c r="N7">
        <f>IF(OR(G7=0,I7&gt;0.15),"复核","正常")</f>
        <v/>
      </c>
    </row>
    <row r="8">
      <c r="F8" s="2" t="n"/>
      <c r="H8" s="3" t="n"/>
      <c r="I8" s="4" t="n"/>
      <c r="K8" s="3">
        <f>G8*H8</f>
        <v/>
      </c>
      <c r="L8" s="3">
        <f>K8*IFERROR(I8,0)</f>
        <v/>
      </c>
      <c r="M8" s="3">
        <f>K8-L8</f>
        <v/>
      </c>
      <c r="N8">
        <f>IF(OR(G8=0,I8&gt;0.15),"复核","正常")</f>
        <v/>
      </c>
    </row>
    <row r="9">
      <c r="F9" s="2" t="n"/>
      <c r="H9" s="3" t="n"/>
      <c r="I9" s="4" t="n"/>
      <c r="K9" s="3">
        <f>G9*H9</f>
        <v/>
      </c>
      <c r="L9" s="3">
        <f>K9*IFERROR(I9,0)</f>
        <v/>
      </c>
      <c r="M9" s="3">
        <f>K9-L9</f>
        <v/>
      </c>
      <c r="N9">
        <f>IF(OR(G9=0,I9&gt;0.15),"复核","正常")</f>
        <v/>
      </c>
    </row>
    <row r="10">
      <c r="F10" s="2" t="n"/>
      <c r="H10" s="3" t="n"/>
      <c r="I10" s="4" t="n"/>
      <c r="K10" s="3">
        <f>G10*H10</f>
        <v/>
      </c>
      <c r="L10" s="3">
        <f>K10*IFERROR(I10,0)</f>
        <v/>
      </c>
      <c r="M10" s="3">
        <f>K10-L10</f>
        <v/>
      </c>
      <c r="N10">
        <f>IF(OR(G10=0,I10&gt;0.15),"复核","正常")</f>
        <v/>
      </c>
    </row>
    <row r="11">
      <c r="F11" s="2" t="n"/>
      <c r="H11" s="3" t="n"/>
      <c r="I11" s="4" t="n"/>
      <c r="K11" s="3">
        <f>G11*H11</f>
        <v/>
      </c>
      <c r="L11" s="3">
        <f>K11*IFERROR(I11,0)</f>
        <v/>
      </c>
      <c r="M11" s="3">
        <f>K11-L11</f>
        <v/>
      </c>
      <c r="N11">
        <f>IF(OR(G11=0,I11&gt;0.15),"复核","正常")</f>
        <v/>
      </c>
    </row>
    <row r="12">
      <c r="F12" s="2" t="n"/>
      <c r="H12" s="3" t="n"/>
      <c r="I12" s="4" t="n"/>
      <c r="K12" s="3">
        <f>G12*H12</f>
        <v/>
      </c>
      <c r="L12" s="3">
        <f>K12*IFERROR(I12,0)</f>
        <v/>
      </c>
      <c r="M12" s="3">
        <f>K12-L12</f>
        <v/>
      </c>
      <c r="N12">
        <f>IF(OR(G12=0,I12&gt;0.15),"复核","正常")</f>
        <v/>
      </c>
    </row>
    <row r="13">
      <c r="F13" s="2" t="n"/>
      <c r="H13" s="3" t="n"/>
      <c r="I13" s="4" t="n"/>
      <c r="K13" s="3">
        <f>G13*H13</f>
        <v/>
      </c>
      <c r="L13" s="3">
        <f>K13*IFERROR(I13,0)</f>
        <v/>
      </c>
      <c r="M13" s="3">
        <f>K13-L13</f>
        <v/>
      </c>
      <c r="N13">
        <f>IF(OR(G13=0,I13&gt;0.15),"复核","正常")</f>
        <v/>
      </c>
    </row>
    <row r="14">
      <c r="F14" s="2" t="n"/>
      <c r="H14" s="3" t="n"/>
      <c r="I14" s="4" t="n"/>
      <c r="K14" s="3">
        <f>G14*H14</f>
        <v/>
      </c>
      <c r="L14" s="3">
        <f>K14*IFERROR(I14,0)</f>
        <v/>
      </c>
      <c r="M14" s="3">
        <f>K14-L14</f>
        <v/>
      </c>
      <c r="N14">
        <f>IF(OR(G14=0,I14&gt;0.15),"复核","正常")</f>
        <v/>
      </c>
    </row>
    <row r="15">
      <c r="F15" s="2" t="n"/>
      <c r="H15" s="3" t="n"/>
      <c r="I15" s="4" t="n"/>
      <c r="K15" s="3">
        <f>G15*H15</f>
        <v/>
      </c>
      <c r="L15" s="3">
        <f>K15*IFERROR(I15,0)</f>
        <v/>
      </c>
      <c r="M15" s="3">
        <f>K15-L15</f>
        <v/>
      </c>
      <c r="N15">
        <f>IF(OR(G15=0,I15&gt;0.15),"复核","正常")</f>
        <v/>
      </c>
    </row>
    <row r="16">
      <c r="F16" s="2" t="n"/>
      <c r="H16" s="3" t="n"/>
      <c r="I16" s="4" t="n"/>
      <c r="K16" s="3">
        <f>G16*H16</f>
        <v/>
      </c>
      <c r="L16" s="3">
        <f>K16*IFERROR(I16,0)</f>
        <v/>
      </c>
      <c r="M16" s="3">
        <f>K16-L16</f>
        <v/>
      </c>
      <c r="N16">
        <f>IF(OR(G16=0,I16&gt;0.15),"复核","正常")</f>
        <v/>
      </c>
    </row>
    <row r="17">
      <c r="F17" s="2" t="n"/>
      <c r="H17" s="3" t="n"/>
      <c r="I17" s="4" t="n"/>
      <c r="K17" s="3">
        <f>G17*H17</f>
        <v/>
      </c>
      <c r="L17" s="3">
        <f>K17*IFERROR(I17,0)</f>
        <v/>
      </c>
      <c r="M17" s="3">
        <f>K17-L17</f>
        <v/>
      </c>
      <c r="N17">
        <f>IF(OR(G17=0,I17&gt;0.15),"复核","正常")</f>
        <v/>
      </c>
    </row>
    <row r="18">
      <c r="F18" s="2" t="n"/>
      <c r="H18" s="3" t="n"/>
      <c r="I18" s="4" t="n"/>
      <c r="K18" s="3">
        <f>G18*H18</f>
        <v/>
      </c>
      <c r="L18" s="3">
        <f>K18*IFERROR(I18,0)</f>
        <v/>
      </c>
      <c r="M18" s="3">
        <f>K18-L18</f>
        <v/>
      </c>
      <c r="N18">
        <f>IF(OR(G18=0,I18&gt;0.15),"复核","正常")</f>
        <v/>
      </c>
    </row>
    <row r="19">
      <c r="F19" s="2" t="n"/>
      <c r="H19" s="3" t="n"/>
      <c r="I19" s="4" t="n"/>
      <c r="K19" s="3">
        <f>G19*H19</f>
        <v/>
      </c>
      <c r="L19" s="3">
        <f>K19*IFERROR(I19,0)</f>
        <v/>
      </c>
      <c r="M19" s="3">
        <f>K19-L19</f>
        <v/>
      </c>
      <c r="N19">
        <f>IF(OR(G19=0,I19&gt;0.15),"复核","正常")</f>
        <v/>
      </c>
    </row>
    <row r="20">
      <c r="F20" s="2" t="n"/>
      <c r="H20" s="3" t="n"/>
      <c r="I20" s="4" t="n"/>
      <c r="K20" s="3">
        <f>G20*H20</f>
        <v/>
      </c>
      <c r="L20" s="3">
        <f>K20*IFERROR(I20,0)</f>
        <v/>
      </c>
      <c r="M20" s="3">
        <f>K20-L20</f>
        <v/>
      </c>
      <c r="N20">
        <f>IF(OR(G20=0,I20&gt;0.15),"复核","正常")</f>
        <v/>
      </c>
    </row>
    <row r="21">
      <c r="F21" s="2" t="n"/>
      <c r="H21" s="3" t="n"/>
      <c r="I21" s="4" t="n"/>
      <c r="K21" s="3">
        <f>G21*H21</f>
        <v/>
      </c>
      <c r="L21" s="3">
        <f>K21*IFERROR(I21,0)</f>
        <v/>
      </c>
      <c r="M21" s="3">
        <f>K21-L21</f>
        <v/>
      </c>
      <c r="N21">
        <f>IF(OR(G21=0,I21&gt;0.15),"复核","正常")</f>
        <v/>
      </c>
    </row>
    <row r="22">
      <c r="F22" s="2" t="n"/>
      <c r="H22" s="3" t="n"/>
      <c r="I22" s="4" t="n"/>
      <c r="K22" s="3">
        <f>G22*H22</f>
        <v/>
      </c>
      <c r="L22" s="3">
        <f>K22*IFERROR(I22,0)</f>
        <v/>
      </c>
      <c r="M22" s="3">
        <f>K22-L22</f>
        <v/>
      </c>
      <c r="N22">
        <f>IF(OR(G22=0,I22&gt;0.15),"复核","正常")</f>
        <v/>
      </c>
    </row>
    <row r="23">
      <c r="F23" s="2" t="n"/>
      <c r="H23" s="3" t="n"/>
      <c r="I23" s="4" t="n"/>
      <c r="K23" s="3">
        <f>G23*H23</f>
        <v/>
      </c>
      <c r="L23" s="3">
        <f>K23*IFERROR(I23,0)</f>
        <v/>
      </c>
      <c r="M23" s="3">
        <f>K23-L23</f>
        <v/>
      </c>
      <c r="N23">
        <f>IF(OR(G23=0,I23&gt;0.15),"复核","正常")</f>
        <v/>
      </c>
    </row>
    <row r="24">
      <c r="F24" s="2" t="n"/>
      <c r="H24" s="3" t="n"/>
      <c r="I24" s="4" t="n"/>
      <c r="K24" s="3">
        <f>G24*H24</f>
        <v/>
      </c>
      <c r="L24" s="3">
        <f>K24*IFERROR(I24,0)</f>
        <v/>
      </c>
      <c r="M24" s="3">
        <f>K24-L24</f>
        <v/>
      </c>
      <c r="N24">
        <f>IF(OR(G24=0,I24&gt;0.15),"复核","正常")</f>
        <v/>
      </c>
    </row>
    <row r="25">
      <c r="F25" s="2" t="n"/>
      <c r="H25" s="3" t="n"/>
      <c r="I25" s="4" t="n"/>
      <c r="K25" s="3">
        <f>G25*H25</f>
        <v/>
      </c>
      <c r="L25" s="3">
        <f>K25*IFERROR(I25,0)</f>
        <v/>
      </c>
      <c r="M25" s="3">
        <f>K25-L25</f>
        <v/>
      </c>
      <c r="N25">
        <f>IF(OR(G25=0,I25&gt;0.15),"复核","正常")</f>
        <v/>
      </c>
    </row>
    <row r="26">
      <c r="F26" s="2" t="n"/>
      <c r="H26" s="3" t="n"/>
      <c r="I26" s="4" t="n"/>
      <c r="K26" s="3">
        <f>G26*H26</f>
        <v/>
      </c>
      <c r="L26" s="3">
        <f>K26*IFERROR(I26,0)</f>
        <v/>
      </c>
      <c r="M26" s="3">
        <f>K26-L26</f>
        <v/>
      </c>
      <c r="N26">
        <f>IF(OR(G26=0,I26&gt;0.15),"复核","正常")</f>
        <v/>
      </c>
    </row>
    <row r="27">
      <c r="F27" s="2" t="n"/>
      <c r="H27" s="3" t="n"/>
      <c r="I27" s="4" t="n"/>
      <c r="K27" s="3">
        <f>G27*H27</f>
        <v/>
      </c>
      <c r="L27" s="3">
        <f>K27*IFERROR(I27,0)</f>
        <v/>
      </c>
      <c r="M27" s="3">
        <f>K27-L27</f>
        <v/>
      </c>
      <c r="N27">
        <f>IF(OR(G27=0,I27&gt;0.15),"复核","正常")</f>
        <v/>
      </c>
    </row>
    <row r="28">
      <c r="F28" s="2" t="n"/>
      <c r="H28" s="3" t="n"/>
      <c r="I28" s="4" t="n"/>
      <c r="K28" s="3">
        <f>G28*H28</f>
        <v/>
      </c>
      <c r="L28" s="3">
        <f>K28*IFERROR(I28,0)</f>
        <v/>
      </c>
      <c r="M28" s="3">
        <f>K28-L28</f>
        <v/>
      </c>
      <c r="N28">
        <f>IF(OR(G28=0,I28&gt;0.15),"复核","正常")</f>
        <v/>
      </c>
    </row>
    <row r="29">
      <c r="F29" s="2" t="n"/>
      <c r="H29" s="3" t="n"/>
      <c r="I29" s="4" t="n"/>
      <c r="K29" s="3">
        <f>G29*H29</f>
        <v/>
      </c>
      <c r="L29" s="3">
        <f>K29*IFERROR(I29,0)</f>
        <v/>
      </c>
      <c r="M29" s="3">
        <f>K29-L29</f>
        <v/>
      </c>
      <c r="N29">
        <f>IF(OR(G29=0,I29&gt;0.15),"复核","正常")</f>
        <v/>
      </c>
    </row>
    <row r="30">
      <c r="F30" s="2" t="n"/>
      <c r="H30" s="3" t="n"/>
      <c r="I30" s="4" t="n"/>
      <c r="K30" s="3">
        <f>G30*H30</f>
        <v/>
      </c>
      <c r="L30" s="3">
        <f>K30*IFERROR(I30,0)</f>
        <v/>
      </c>
      <c r="M30" s="3">
        <f>K30-L30</f>
        <v/>
      </c>
      <c r="N30">
        <f>IF(OR(G30=0,I30&gt;0.15),"复核","正常")</f>
        <v/>
      </c>
    </row>
    <row r="31">
      <c r="F31" s="2" t="n"/>
      <c r="H31" s="3" t="n"/>
      <c r="I31" s="4" t="n"/>
      <c r="K31" s="3">
        <f>G31*H31</f>
        <v/>
      </c>
      <c r="L31" s="3">
        <f>K31*IFERROR(I31,0)</f>
        <v/>
      </c>
      <c r="M31" s="3">
        <f>K31-L31</f>
        <v/>
      </c>
      <c r="N31">
        <f>IF(OR(G31=0,I31&gt;0.15),"复核","正常")</f>
        <v/>
      </c>
    </row>
    <row r="32">
      <c r="F32" s="2" t="n"/>
      <c r="H32" s="3" t="n"/>
      <c r="I32" s="4" t="n"/>
      <c r="K32" s="3">
        <f>G32*H32</f>
        <v/>
      </c>
      <c r="L32" s="3">
        <f>K32*IFERROR(I32,0)</f>
        <v/>
      </c>
      <c r="M32" s="3">
        <f>K32-L32</f>
        <v/>
      </c>
      <c r="N32">
        <f>IF(OR(G32=0,I32&gt;0.15),"复核","正常")</f>
        <v/>
      </c>
    </row>
    <row r="33">
      <c r="F33" s="2" t="n"/>
      <c r="H33" s="3" t="n"/>
      <c r="I33" s="4" t="n"/>
      <c r="K33" s="3">
        <f>G33*H33</f>
        <v/>
      </c>
      <c r="L33" s="3">
        <f>K33*IFERROR(I33,0)</f>
        <v/>
      </c>
      <c r="M33" s="3">
        <f>K33-L33</f>
        <v/>
      </c>
      <c r="N33">
        <f>IF(OR(G33=0,I33&gt;0.15),"复核","正常")</f>
        <v/>
      </c>
    </row>
    <row r="34">
      <c r="F34" s="2" t="n"/>
      <c r="H34" s="3" t="n"/>
      <c r="I34" s="4" t="n"/>
      <c r="K34" s="3">
        <f>G34*H34</f>
        <v/>
      </c>
      <c r="L34" s="3">
        <f>K34*IFERROR(I34,0)</f>
        <v/>
      </c>
      <c r="M34" s="3">
        <f>K34-L34</f>
        <v/>
      </c>
      <c r="N34">
        <f>IF(OR(G34=0,I34&gt;0.15),"复核","正常")</f>
        <v/>
      </c>
    </row>
    <row r="35">
      <c r="F35" s="2" t="n"/>
      <c r="H35" s="3" t="n"/>
      <c r="I35" s="4" t="n"/>
      <c r="K35" s="3">
        <f>G35*H35</f>
        <v/>
      </c>
      <c r="L35" s="3">
        <f>K35*IFERROR(I35,0)</f>
        <v/>
      </c>
      <c r="M35" s="3">
        <f>K35-L35</f>
        <v/>
      </c>
      <c r="N35">
        <f>IF(OR(G35=0,I35&gt;0.15),"复核","正常")</f>
        <v/>
      </c>
    </row>
    <row r="36">
      <c r="F36" s="2" t="n"/>
      <c r="H36" s="3" t="n"/>
      <c r="I36" s="4" t="n"/>
      <c r="K36" s="3">
        <f>G36*H36</f>
        <v/>
      </c>
      <c r="L36" s="3">
        <f>K36*IFERROR(I36,0)</f>
        <v/>
      </c>
      <c r="M36" s="3">
        <f>K36-L36</f>
        <v/>
      </c>
      <c r="N36">
        <f>IF(OR(G36=0,I36&gt;0.15),"复核","正常")</f>
        <v/>
      </c>
    </row>
    <row r="37">
      <c r="F37" s="2" t="n"/>
      <c r="H37" s="3" t="n"/>
      <c r="I37" s="4" t="n"/>
      <c r="K37" s="3">
        <f>G37*H37</f>
        <v/>
      </c>
      <c r="L37" s="3">
        <f>K37*IFERROR(I37,0)</f>
        <v/>
      </c>
      <c r="M37" s="3">
        <f>K37-L37</f>
        <v/>
      </c>
      <c r="N37">
        <f>IF(OR(G37=0,I37&gt;0.15),"复核","正常")</f>
        <v/>
      </c>
    </row>
    <row r="38">
      <c r="F38" s="2" t="n"/>
      <c r="H38" s="3" t="n"/>
      <c r="I38" s="4" t="n"/>
      <c r="K38" s="3">
        <f>G38*H38</f>
        <v/>
      </c>
      <c r="L38" s="3">
        <f>K38*IFERROR(I38,0)</f>
        <v/>
      </c>
      <c r="M38" s="3">
        <f>K38-L38</f>
        <v/>
      </c>
      <c r="N38">
        <f>IF(OR(G38=0,I38&gt;0.15),"复核","正常")</f>
        <v/>
      </c>
    </row>
    <row r="39">
      <c r="F39" s="2" t="n"/>
      <c r="H39" s="3" t="n"/>
      <c r="I39" s="4" t="n"/>
      <c r="K39" s="3">
        <f>G39*H39</f>
        <v/>
      </c>
      <c r="L39" s="3">
        <f>K39*IFERROR(I39,0)</f>
        <v/>
      </c>
      <c r="M39" s="3">
        <f>K39-L39</f>
        <v/>
      </c>
      <c r="N39">
        <f>IF(OR(G39=0,I39&gt;0.15),"复核","正常")</f>
        <v/>
      </c>
    </row>
    <row r="40">
      <c r="F40" s="2" t="n"/>
      <c r="H40" s="3" t="n"/>
      <c r="I40" s="4" t="n"/>
      <c r="K40" s="3">
        <f>G40*H40</f>
        <v/>
      </c>
      <c r="L40" s="3">
        <f>K40*IFERROR(I40,0)</f>
        <v/>
      </c>
      <c r="M40" s="3">
        <f>K40-L40</f>
        <v/>
      </c>
      <c r="N40">
        <f>IF(OR(G40=0,I40&gt;0.15),"复核","正常")</f>
        <v/>
      </c>
    </row>
    <row r="41">
      <c r="F41" s="2" t="n"/>
      <c r="H41" s="3" t="n"/>
      <c r="I41" s="4" t="n"/>
      <c r="K41" s="3">
        <f>G41*H41</f>
        <v/>
      </c>
      <c r="L41" s="3">
        <f>K41*IFERROR(I41,0)</f>
        <v/>
      </c>
      <c r="M41" s="3">
        <f>K41-L41</f>
        <v/>
      </c>
      <c r="N41">
        <f>IF(OR(G41=0,I41&gt;0.15),"复核","正常")</f>
        <v/>
      </c>
    </row>
    <row r="42">
      <c r="F42" s="2" t="n"/>
      <c r="H42" s="3" t="n"/>
      <c r="I42" s="4" t="n"/>
      <c r="K42" s="3">
        <f>G42*H42</f>
        <v/>
      </c>
      <c r="L42" s="3">
        <f>K42*IFERROR(I42,0)</f>
        <v/>
      </c>
      <c r="M42" s="3">
        <f>K42-L42</f>
        <v/>
      </c>
      <c r="N42">
        <f>IF(OR(G42=0,I42&gt;0.15),"复核","正常")</f>
        <v/>
      </c>
    </row>
    <row r="43">
      <c r="F43" s="2" t="n"/>
      <c r="H43" s="3" t="n"/>
      <c r="I43" s="4" t="n"/>
      <c r="K43" s="3">
        <f>G43*H43</f>
        <v/>
      </c>
      <c r="L43" s="3">
        <f>K43*IFERROR(I43,0)</f>
        <v/>
      </c>
      <c r="M43" s="3">
        <f>K43-L43</f>
        <v/>
      </c>
      <c r="N43">
        <f>IF(OR(G43=0,I43&gt;0.15),"复核","正常")</f>
        <v/>
      </c>
    </row>
    <row r="44">
      <c r="F44" s="2" t="n"/>
      <c r="H44" s="3" t="n"/>
      <c r="I44" s="4" t="n"/>
      <c r="K44" s="3">
        <f>G44*H44</f>
        <v/>
      </c>
      <c r="L44" s="3">
        <f>K44*IFERROR(I44,0)</f>
        <v/>
      </c>
      <c r="M44" s="3">
        <f>K44-L44</f>
        <v/>
      </c>
      <c r="N44">
        <f>IF(OR(G44=0,I44&gt;0.15),"复核","正常")</f>
        <v/>
      </c>
    </row>
    <row r="45">
      <c r="F45" s="2" t="n"/>
      <c r="H45" s="3" t="n"/>
      <c r="I45" s="4" t="n"/>
      <c r="K45" s="3">
        <f>G45*H45</f>
        <v/>
      </c>
      <c r="L45" s="3">
        <f>K45*IFERROR(I45,0)</f>
        <v/>
      </c>
      <c r="M45" s="3">
        <f>K45-L45</f>
        <v/>
      </c>
      <c r="N45">
        <f>IF(OR(G45=0,I45&gt;0.15),"复核","正常")</f>
        <v/>
      </c>
    </row>
    <row r="46">
      <c r="F46" s="2" t="n"/>
      <c r="H46" s="3" t="n"/>
      <c r="I46" s="4" t="n"/>
      <c r="K46" s="3">
        <f>G46*H46</f>
        <v/>
      </c>
      <c r="L46" s="3">
        <f>K46*IFERROR(I46,0)</f>
        <v/>
      </c>
      <c r="M46" s="3">
        <f>K46-L46</f>
        <v/>
      </c>
      <c r="N46">
        <f>IF(OR(G46=0,I46&gt;0.15),"复核","正常")</f>
        <v/>
      </c>
    </row>
    <row r="47">
      <c r="F47" s="2" t="n"/>
      <c r="H47" s="3" t="n"/>
      <c r="I47" s="4" t="n"/>
      <c r="K47" s="3">
        <f>G47*H47</f>
        <v/>
      </c>
      <c r="L47" s="3">
        <f>K47*IFERROR(I47,0)</f>
        <v/>
      </c>
      <c r="M47" s="3">
        <f>K47-L47</f>
        <v/>
      </c>
      <c r="N47">
        <f>IF(OR(G47=0,I47&gt;0.15),"复核","正常")</f>
        <v/>
      </c>
    </row>
    <row r="48">
      <c r="F48" s="2" t="n"/>
      <c r="H48" s="3" t="n"/>
      <c r="I48" s="4" t="n"/>
      <c r="K48" s="3">
        <f>G48*H48</f>
        <v/>
      </c>
      <c r="L48" s="3">
        <f>K48*IFERROR(I48,0)</f>
        <v/>
      </c>
      <c r="M48" s="3">
        <f>K48-L48</f>
        <v/>
      </c>
      <c r="N48">
        <f>IF(OR(G48=0,I48&gt;0.15),"复核","正常")</f>
        <v/>
      </c>
    </row>
    <row r="49">
      <c r="F49" s="2" t="n"/>
      <c r="H49" s="3" t="n"/>
      <c r="I49" s="4" t="n"/>
      <c r="K49" s="3">
        <f>G49*H49</f>
        <v/>
      </c>
      <c r="L49" s="3">
        <f>K49*IFERROR(I49,0)</f>
        <v/>
      </c>
      <c r="M49" s="3">
        <f>K49-L49</f>
        <v/>
      </c>
      <c r="N49">
        <f>IF(OR(G49=0,I49&gt;0.15),"复核","正常")</f>
        <v/>
      </c>
    </row>
    <row r="50">
      <c r="F50" s="2" t="n"/>
      <c r="H50" s="3" t="n"/>
      <c r="I50" s="4" t="n"/>
      <c r="K50" s="3">
        <f>G50*H50</f>
        <v/>
      </c>
      <c r="L50" s="3">
        <f>K50*IFERROR(I50,0)</f>
        <v/>
      </c>
      <c r="M50" s="3">
        <f>K50-L50</f>
        <v/>
      </c>
      <c r="N50">
        <f>IF(OR(G50=0,I50&gt;0.15),"复核","正常")</f>
        <v/>
      </c>
    </row>
    <row r="51">
      <c r="F51" s="2" t="n"/>
      <c r="H51" s="3" t="n"/>
      <c r="I51" s="4" t="n"/>
      <c r="K51" s="3">
        <f>G51*H51</f>
        <v/>
      </c>
      <c r="L51" s="3">
        <f>K51*IFERROR(I51,0)</f>
        <v/>
      </c>
      <c r="M51" s="3">
        <f>K51-L51</f>
        <v/>
      </c>
      <c r="N51">
        <f>IF(OR(G51=0,I51&gt;0.15),"复核","正常")</f>
        <v/>
      </c>
    </row>
    <row r="52">
      <c r="F52" s="2" t="n"/>
      <c r="H52" s="3" t="n"/>
      <c r="I52" s="4" t="n"/>
      <c r="K52" s="3">
        <f>G52*H52</f>
        <v/>
      </c>
      <c r="L52" s="3">
        <f>K52*IFERROR(I52,0)</f>
        <v/>
      </c>
      <c r="M52" s="3">
        <f>K52-L52</f>
        <v/>
      </c>
      <c r="N52">
        <f>IF(OR(G52=0,I52&gt;0.15),"复核","正常")</f>
        <v/>
      </c>
    </row>
    <row r="53">
      <c r="F53" s="2" t="n"/>
      <c r="H53" s="3" t="n"/>
      <c r="I53" s="4" t="n"/>
      <c r="K53" s="3">
        <f>G53*H53</f>
        <v/>
      </c>
      <c r="L53" s="3">
        <f>K53*IFERROR(I53,0)</f>
        <v/>
      </c>
      <c r="M53" s="3">
        <f>K53-L53</f>
        <v/>
      </c>
      <c r="N53">
        <f>IF(OR(G53=0,I53&gt;0.15),"复核","正常")</f>
        <v/>
      </c>
    </row>
    <row r="54">
      <c r="F54" s="2" t="n"/>
      <c r="H54" s="3" t="n"/>
      <c r="I54" s="4" t="n"/>
      <c r="K54" s="3">
        <f>G54*H54</f>
        <v/>
      </c>
      <c r="L54" s="3">
        <f>K54*IFERROR(I54,0)</f>
        <v/>
      </c>
      <c r="M54" s="3">
        <f>K54-L54</f>
        <v/>
      </c>
      <c r="N54">
        <f>IF(OR(G54=0,I54&gt;0.15),"复核","正常")</f>
        <v/>
      </c>
    </row>
    <row r="55">
      <c r="F55" s="2" t="n"/>
      <c r="H55" s="3" t="n"/>
      <c r="I55" s="4" t="n"/>
      <c r="K55" s="3">
        <f>G55*H55</f>
        <v/>
      </c>
      <c r="L55" s="3">
        <f>K55*IFERROR(I55,0)</f>
        <v/>
      </c>
      <c r="M55" s="3">
        <f>K55-L55</f>
        <v/>
      </c>
      <c r="N55">
        <f>IF(OR(G55=0,I55&gt;0.15),"复核","正常")</f>
        <v/>
      </c>
    </row>
    <row r="56">
      <c r="F56" s="2" t="n"/>
      <c r="H56" s="3" t="n"/>
      <c r="I56" s="4" t="n"/>
      <c r="K56" s="3">
        <f>G56*H56</f>
        <v/>
      </c>
      <c r="L56" s="3">
        <f>K56*IFERROR(I56,0)</f>
        <v/>
      </c>
      <c r="M56" s="3">
        <f>K56-L56</f>
        <v/>
      </c>
      <c r="N56">
        <f>IF(OR(G56=0,I56&gt;0.15),"复核","正常")</f>
        <v/>
      </c>
    </row>
    <row r="57">
      <c r="F57" s="2" t="n"/>
      <c r="H57" s="3" t="n"/>
      <c r="I57" s="4" t="n"/>
      <c r="K57" s="3">
        <f>G57*H57</f>
        <v/>
      </c>
      <c r="L57" s="3">
        <f>K57*IFERROR(I57,0)</f>
        <v/>
      </c>
      <c r="M57" s="3">
        <f>K57-L57</f>
        <v/>
      </c>
      <c r="N57">
        <f>IF(OR(G57=0,I57&gt;0.15),"复核","正常")</f>
        <v/>
      </c>
    </row>
    <row r="58">
      <c r="F58" s="2" t="n"/>
      <c r="H58" s="3" t="n"/>
      <c r="I58" s="4" t="n"/>
      <c r="K58" s="3">
        <f>G58*H58</f>
        <v/>
      </c>
      <c r="L58" s="3">
        <f>K58*IFERROR(I58,0)</f>
        <v/>
      </c>
      <c r="M58" s="3">
        <f>K58-L58</f>
        <v/>
      </c>
      <c r="N58">
        <f>IF(OR(G58=0,I58&gt;0.15),"复核","正常")</f>
        <v/>
      </c>
    </row>
    <row r="59">
      <c r="F59" s="2" t="n"/>
      <c r="H59" s="3" t="n"/>
      <c r="I59" s="4" t="n"/>
      <c r="K59" s="3">
        <f>G59*H59</f>
        <v/>
      </c>
      <c r="L59" s="3">
        <f>K59*IFERROR(I59,0)</f>
        <v/>
      </c>
      <c r="M59" s="3">
        <f>K59-L59</f>
        <v/>
      </c>
      <c r="N59">
        <f>IF(OR(G59=0,I59&gt;0.15),"复核","正常")</f>
        <v/>
      </c>
    </row>
    <row r="60">
      <c r="F60" s="2" t="n"/>
      <c r="H60" s="3" t="n"/>
      <c r="I60" s="4" t="n"/>
      <c r="K60" s="3">
        <f>G60*H60</f>
        <v/>
      </c>
      <c r="L60" s="3">
        <f>K60*IFERROR(I60,0)</f>
        <v/>
      </c>
      <c r="M60" s="3">
        <f>K60-L60</f>
        <v/>
      </c>
      <c r="N60">
        <f>IF(OR(G60=0,I60&gt;0.15),"复核","正常")</f>
        <v/>
      </c>
    </row>
    <row r="61">
      <c r="F61" s="2" t="n"/>
      <c r="H61" s="3" t="n"/>
      <c r="I61" s="4" t="n"/>
      <c r="K61" s="3">
        <f>G61*H61</f>
        <v/>
      </c>
      <c r="L61" s="3">
        <f>K61*IFERROR(I61,0)</f>
        <v/>
      </c>
      <c r="M61" s="3">
        <f>K61-L61</f>
        <v/>
      </c>
      <c r="N61">
        <f>IF(OR(G61=0,I61&gt;0.15),"复核","正常")</f>
        <v/>
      </c>
    </row>
    <row r="62">
      <c r="F62" s="2" t="n"/>
      <c r="H62" s="3" t="n"/>
      <c r="I62" s="4" t="n"/>
      <c r="K62" s="3">
        <f>G62*H62</f>
        <v/>
      </c>
      <c r="L62" s="3">
        <f>K62*IFERROR(I62,0)</f>
        <v/>
      </c>
      <c r="M62" s="3">
        <f>K62-L62</f>
        <v/>
      </c>
      <c r="N62">
        <f>IF(OR(G62=0,I62&gt;0.15),"复核","正常")</f>
        <v/>
      </c>
    </row>
    <row r="63">
      <c r="F63" s="2" t="n"/>
      <c r="H63" s="3" t="n"/>
      <c r="I63" s="4" t="n"/>
      <c r="K63" s="3">
        <f>G63*H63</f>
        <v/>
      </c>
      <c r="L63" s="3">
        <f>K63*IFERROR(I63,0)</f>
        <v/>
      </c>
      <c r="M63" s="3">
        <f>K63-L63</f>
        <v/>
      </c>
      <c r="N63">
        <f>IF(OR(G63=0,I63&gt;0.15),"复核","正常")</f>
        <v/>
      </c>
    </row>
    <row r="64">
      <c r="F64" s="2" t="n"/>
      <c r="H64" s="3" t="n"/>
      <c r="I64" s="4" t="n"/>
      <c r="K64" s="3">
        <f>G64*H64</f>
        <v/>
      </c>
      <c r="L64" s="3">
        <f>K64*IFERROR(I64,0)</f>
        <v/>
      </c>
      <c r="M64" s="3">
        <f>K64-L64</f>
        <v/>
      </c>
      <c r="N64">
        <f>IF(OR(G64=0,I64&gt;0.15),"复核","正常")</f>
        <v/>
      </c>
    </row>
    <row r="65">
      <c r="F65" s="2" t="n"/>
      <c r="H65" s="3" t="n"/>
      <c r="I65" s="4" t="n"/>
      <c r="K65" s="3">
        <f>G65*H65</f>
        <v/>
      </c>
      <c r="L65" s="3">
        <f>K65*IFERROR(I65,0)</f>
        <v/>
      </c>
      <c r="M65" s="3">
        <f>K65-L65</f>
        <v/>
      </c>
      <c r="N65">
        <f>IF(OR(G65=0,I65&gt;0.15),"复核","正常")</f>
        <v/>
      </c>
    </row>
    <row r="66">
      <c r="F66" s="2" t="n"/>
      <c r="H66" s="3" t="n"/>
      <c r="I66" s="4" t="n"/>
      <c r="K66" s="3">
        <f>G66*H66</f>
        <v/>
      </c>
      <c r="L66" s="3">
        <f>K66*IFERROR(I66,0)</f>
        <v/>
      </c>
      <c r="M66" s="3">
        <f>K66-L66</f>
        <v/>
      </c>
      <c r="N66">
        <f>IF(OR(G66=0,I66&gt;0.15),"复核","正常")</f>
        <v/>
      </c>
    </row>
    <row r="67">
      <c r="F67" s="2" t="n"/>
      <c r="H67" s="3" t="n"/>
      <c r="I67" s="4" t="n"/>
      <c r="K67" s="3">
        <f>G67*H67</f>
        <v/>
      </c>
      <c r="L67" s="3">
        <f>K67*IFERROR(I67,0)</f>
        <v/>
      </c>
      <c r="M67" s="3">
        <f>K67-L67</f>
        <v/>
      </c>
      <c r="N67">
        <f>IF(OR(G67=0,I67&gt;0.15),"复核","正常")</f>
        <v/>
      </c>
    </row>
    <row r="68">
      <c r="F68" s="2" t="n"/>
      <c r="H68" s="3" t="n"/>
      <c r="I68" s="4" t="n"/>
      <c r="K68" s="3">
        <f>G68*H68</f>
        <v/>
      </c>
      <c r="L68" s="3">
        <f>K68*IFERROR(I68,0)</f>
        <v/>
      </c>
      <c r="M68" s="3">
        <f>K68-L68</f>
        <v/>
      </c>
      <c r="N68">
        <f>IF(OR(G68=0,I68&gt;0.15),"复核","正常")</f>
        <v/>
      </c>
    </row>
    <row r="69">
      <c r="F69" s="2" t="n"/>
      <c r="H69" s="3" t="n"/>
      <c r="I69" s="4" t="n"/>
      <c r="K69" s="3">
        <f>G69*H69</f>
        <v/>
      </c>
      <c r="L69" s="3">
        <f>K69*IFERROR(I69,0)</f>
        <v/>
      </c>
      <c r="M69" s="3">
        <f>K69-L69</f>
        <v/>
      </c>
      <c r="N69">
        <f>IF(OR(G69=0,I69&gt;0.15),"复核","正常")</f>
        <v/>
      </c>
    </row>
    <row r="70">
      <c r="F70" s="2" t="n"/>
      <c r="H70" s="3" t="n"/>
      <c r="I70" s="4" t="n"/>
      <c r="K70" s="3">
        <f>G70*H70</f>
        <v/>
      </c>
      <c r="L70" s="3">
        <f>K70*IFERROR(I70,0)</f>
        <v/>
      </c>
      <c r="M70" s="3">
        <f>K70-L70</f>
        <v/>
      </c>
      <c r="N70">
        <f>IF(OR(G70=0,I70&gt;0.15),"复核","正常")</f>
        <v/>
      </c>
    </row>
    <row r="71">
      <c r="F71" s="2" t="n"/>
      <c r="H71" s="3" t="n"/>
      <c r="I71" s="4" t="n"/>
      <c r="K71" s="3">
        <f>G71*H71</f>
        <v/>
      </c>
      <c r="L71" s="3">
        <f>K71*IFERROR(I71,0)</f>
        <v/>
      </c>
      <c r="M71" s="3">
        <f>K71-L71</f>
        <v/>
      </c>
      <c r="N71">
        <f>IF(OR(G71=0,I71&gt;0.15),"复核","正常")</f>
        <v/>
      </c>
    </row>
    <row r="72">
      <c r="F72" s="2" t="n"/>
      <c r="H72" s="3" t="n"/>
      <c r="I72" s="4" t="n"/>
      <c r="K72" s="3">
        <f>G72*H72</f>
        <v/>
      </c>
      <c r="L72" s="3">
        <f>K72*IFERROR(I72,0)</f>
        <v/>
      </c>
      <c r="M72" s="3">
        <f>K72-L72</f>
        <v/>
      </c>
      <c r="N72">
        <f>IF(OR(G72=0,I72&gt;0.15),"复核","正常")</f>
        <v/>
      </c>
    </row>
    <row r="73">
      <c r="F73" s="2" t="n"/>
      <c r="H73" s="3" t="n"/>
      <c r="I73" s="4" t="n"/>
      <c r="K73" s="3">
        <f>G73*H73</f>
        <v/>
      </c>
      <c r="L73" s="3">
        <f>K73*IFERROR(I73,0)</f>
        <v/>
      </c>
      <c r="M73" s="3">
        <f>K73-L73</f>
        <v/>
      </c>
      <c r="N73">
        <f>IF(OR(G73=0,I73&gt;0.15),"复核","正常")</f>
        <v/>
      </c>
    </row>
    <row r="74">
      <c r="F74" s="2" t="n"/>
      <c r="H74" s="3" t="n"/>
      <c r="I74" s="4" t="n"/>
      <c r="K74" s="3">
        <f>G74*H74</f>
        <v/>
      </c>
      <c r="L74" s="3">
        <f>K74*IFERROR(I74,0)</f>
        <v/>
      </c>
      <c r="M74" s="3">
        <f>K74-L74</f>
        <v/>
      </c>
      <c r="N74">
        <f>IF(OR(G74=0,I74&gt;0.15),"复核","正常")</f>
        <v/>
      </c>
    </row>
    <row r="75">
      <c r="F75" s="2" t="n"/>
      <c r="H75" s="3" t="n"/>
      <c r="I75" s="4" t="n"/>
      <c r="K75" s="3">
        <f>G75*H75</f>
        <v/>
      </c>
      <c r="L75" s="3">
        <f>K75*IFERROR(I75,0)</f>
        <v/>
      </c>
      <c r="M75" s="3">
        <f>K75-L75</f>
        <v/>
      </c>
      <c r="N75">
        <f>IF(OR(G75=0,I75&gt;0.15),"复核","正常")</f>
        <v/>
      </c>
    </row>
    <row r="76">
      <c r="F76" s="2" t="n"/>
      <c r="H76" s="3" t="n"/>
      <c r="I76" s="4" t="n"/>
      <c r="K76" s="3">
        <f>G76*H76</f>
        <v/>
      </c>
      <c r="L76" s="3">
        <f>K76*IFERROR(I76,0)</f>
        <v/>
      </c>
      <c r="M76" s="3">
        <f>K76-L76</f>
        <v/>
      </c>
      <c r="N76">
        <f>IF(OR(G76=0,I76&gt;0.15),"复核","正常")</f>
        <v/>
      </c>
    </row>
    <row r="77">
      <c r="F77" s="2" t="n"/>
      <c r="H77" s="3" t="n"/>
      <c r="I77" s="4" t="n"/>
      <c r="K77" s="3">
        <f>G77*H77</f>
        <v/>
      </c>
      <c r="L77" s="3">
        <f>K77*IFERROR(I77,0)</f>
        <v/>
      </c>
      <c r="M77" s="3">
        <f>K77-L77</f>
        <v/>
      </c>
      <c r="N77">
        <f>IF(OR(G77=0,I77&gt;0.15),"复核","正常")</f>
        <v/>
      </c>
    </row>
    <row r="78">
      <c r="F78" s="2" t="n"/>
      <c r="H78" s="3" t="n"/>
      <c r="I78" s="4" t="n"/>
      <c r="K78" s="3">
        <f>G78*H78</f>
        <v/>
      </c>
      <c r="L78" s="3">
        <f>K78*IFERROR(I78,0)</f>
        <v/>
      </c>
      <c r="M78" s="3">
        <f>K78-L78</f>
        <v/>
      </c>
      <c r="N78">
        <f>IF(OR(G78=0,I78&gt;0.15),"复核","正常")</f>
        <v/>
      </c>
    </row>
    <row r="79">
      <c r="F79" s="2" t="n"/>
      <c r="H79" s="3" t="n"/>
      <c r="I79" s="4" t="n"/>
      <c r="K79" s="3">
        <f>G79*H79</f>
        <v/>
      </c>
      <c r="L79" s="3">
        <f>K79*IFERROR(I79,0)</f>
        <v/>
      </c>
      <c r="M79" s="3">
        <f>K79-L79</f>
        <v/>
      </c>
      <c r="N79">
        <f>IF(OR(G79=0,I79&gt;0.15),"复核","正常")</f>
        <v/>
      </c>
    </row>
    <row r="80">
      <c r="F80" s="2" t="n"/>
      <c r="H80" s="3" t="n"/>
      <c r="I80" s="4" t="n"/>
      <c r="K80" s="3">
        <f>G80*H80</f>
        <v/>
      </c>
      <c r="L80" s="3">
        <f>K80*IFERROR(I80,0)</f>
        <v/>
      </c>
      <c r="M80" s="3">
        <f>K80-L80</f>
        <v/>
      </c>
      <c r="N80">
        <f>IF(OR(G80=0,I80&gt;0.15),"复核","正常")</f>
        <v/>
      </c>
    </row>
    <row r="81">
      <c r="F81" s="2" t="n"/>
      <c r="H81" s="3" t="n"/>
      <c r="I81" s="4" t="n"/>
      <c r="K81" s="3">
        <f>G81*H81</f>
        <v/>
      </c>
      <c r="L81" s="3">
        <f>K81*IFERROR(I81,0)</f>
        <v/>
      </c>
      <c r="M81" s="3">
        <f>K81-L81</f>
        <v/>
      </c>
      <c r="N81">
        <f>IF(OR(G81=0,I81&gt;0.15),"复核","正常")</f>
        <v/>
      </c>
    </row>
    <row r="82">
      <c r="F82" s="2" t="n"/>
      <c r="H82" s="3" t="n"/>
      <c r="I82" s="4" t="n"/>
      <c r="K82" s="3">
        <f>G82*H82</f>
        <v/>
      </c>
      <c r="L82" s="3">
        <f>K82*IFERROR(I82,0)</f>
        <v/>
      </c>
      <c r="M82" s="3">
        <f>K82-L82</f>
        <v/>
      </c>
      <c r="N82">
        <f>IF(OR(G82=0,I82&gt;0.15),"复核","正常")</f>
        <v/>
      </c>
    </row>
    <row r="83">
      <c r="F83" s="2" t="n"/>
      <c r="H83" s="3" t="n"/>
      <c r="I83" s="4" t="n"/>
      <c r="K83" s="3">
        <f>G83*H83</f>
        <v/>
      </c>
      <c r="L83" s="3">
        <f>K83*IFERROR(I83,0)</f>
        <v/>
      </c>
      <c r="M83" s="3">
        <f>K83-L83</f>
        <v/>
      </c>
      <c r="N83">
        <f>IF(OR(G83=0,I83&gt;0.15),"复核","正常")</f>
        <v/>
      </c>
    </row>
    <row r="84">
      <c r="F84" s="2" t="n"/>
      <c r="H84" s="3" t="n"/>
      <c r="I84" s="4" t="n"/>
      <c r="K84" s="3">
        <f>G84*H84</f>
        <v/>
      </c>
      <c r="L84" s="3">
        <f>K84*IFERROR(I84,0)</f>
        <v/>
      </c>
      <c r="M84" s="3">
        <f>K84-L84</f>
        <v/>
      </c>
      <c r="N84">
        <f>IF(OR(G84=0,I84&gt;0.15),"复核","正常")</f>
        <v/>
      </c>
    </row>
    <row r="85">
      <c r="F85" s="2" t="n"/>
      <c r="H85" s="3" t="n"/>
      <c r="I85" s="4" t="n"/>
      <c r="K85" s="3">
        <f>G85*H85</f>
        <v/>
      </c>
      <c r="L85" s="3">
        <f>K85*IFERROR(I85,0)</f>
        <v/>
      </c>
      <c r="M85" s="3">
        <f>K85-L85</f>
        <v/>
      </c>
      <c r="N85">
        <f>IF(OR(G85=0,I85&gt;0.15),"复核","正常")</f>
        <v/>
      </c>
    </row>
    <row r="86">
      <c r="F86" s="2" t="n"/>
      <c r="H86" s="3" t="n"/>
      <c r="I86" s="4" t="n"/>
      <c r="K86" s="3">
        <f>G86*H86</f>
        <v/>
      </c>
      <c r="L86" s="3">
        <f>K86*IFERROR(I86,0)</f>
        <v/>
      </c>
      <c r="M86" s="3">
        <f>K86-L86</f>
        <v/>
      </c>
      <c r="N86">
        <f>IF(OR(G86=0,I86&gt;0.15),"复核","正常")</f>
        <v/>
      </c>
    </row>
    <row r="87">
      <c r="F87" s="2" t="n"/>
      <c r="H87" s="3" t="n"/>
      <c r="I87" s="4" t="n"/>
      <c r="K87" s="3">
        <f>G87*H87</f>
        <v/>
      </c>
      <c r="L87" s="3">
        <f>K87*IFERROR(I87,0)</f>
        <v/>
      </c>
      <c r="M87" s="3">
        <f>K87-L87</f>
        <v/>
      </c>
      <c r="N87">
        <f>IF(OR(G87=0,I87&gt;0.15),"复核","正常")</f>
        <v/>
      </c>
    </row>
    <row r="88">
      <c r="F88" s="2" t="n"/>
      <c r="H88" s="3" t="n"/>
      <c r="I88" s="4" t="n"/>
      <c r="K88" s="3">
        <f>G88*H88</f>
        <v/>
      </c>
      <c r="L88" s="3">
        <f>K88*IFERROR(I88,0)</f>
        <v/>
      </c>
      <c r="M88" s="3">
        <f>K88-L88</f>
        <v/>
      </c>
      <c r="N88">
        <f>IF(OR(G88=0,I88&gt;0.15),"复核","正常")</f>
        <v/>
      </c>
    </row>
    <row r="89">
      <c r="F89" s="2" t="n"/>
      <c r="H89" s="3" t="n"/>
      <c r="I89" s="4" t="n"/>
      <c r="K89" s="3">
        <f>G89*H89</f>
        <v/>
      </c>
      <c r="L89" s="3">
        <f>K89*IFERROR(I89,0)</f>
        <v/>
      </c>
      <c r="M89" s="3">
        <f>K89-L89</f>
        <v/>
      </c>
      <c r="N89">
        <f>IF(OR(G89=0,I89&gt;0.15),"复核","正常")</f>
        <v/>
      </c>
    </row>
    <row r="90">
      <c r="F90" s="2" t="n"/>
      <c r="H90" s="3" t="n"/>
      <c r="I90" s="4" t="n"/>
      <c r="K90" s="3">
        <f>G90*H90</f>
        <v/>
      </c>
      <c r="L90" s="3">
        <f>K90*IFERROR(I90,0)</f>
        <v/>
      </c>
      <c r="M90" s="3">
        <f>K90-L90</f>
        <v/>
      </c>
      <c r="N90">
        <f>IF(OR(G90=0,I90&gt;0.15),"复核","正常")</f>
        <v/>
      </c>
    </row>
    <row r="91">
      <c r="F91" s="2" t="n"/>
      <c r="H91" s="3" t="n"/>
      <c r="I91" s="4" t="n"/>
      <c r="K91" s="3">
        <f>G91*H91</f>
        <v/>
      </c>
      <c r="L91" s="3">
        <f>K91*IFERROR(I91,0)</f>
        <v/>
      </c>
      <c r="M91" s="3">
        <f>K91-L91</f>
        <v/>
      </c>
      <c r="N91">
        <f>IF(OR(G91=0,I91&gt;0.15),"复核","正常")</f>
        <v/>
      </c>
    </row>
    <row r="92">
      <c r="F92" s="2" t="n"/>
      <c r="H92" s="3" t="n"/>
      <c r="I92" s="4" t="n"/>
      <c r="K92" s="3">
        <f>G92*H92</f>
        <v/>
      </c>
      <c r="L92" s="3">
        <f>K92*IFERROR(I92,0)</f>
        <v/>
      </c>
      <c r="M92" s="3">
        <f>K92-L92</f>
        <v/>
      </c>
      <c r="N92">
        <f>IF(OR(G92=0,I92&gt;0.15),"复核","正常")</f>
        <v/>
      </c>
    </row>
    <row r="93">
      <c r="F93" s="2" t="n"/>
      <c r="H93" s="3" t="n"/>
      <c r="I93" s="4" t="n"/>
      <c r="K93" s="3">
        <f>G93*H93</f>
        <v/>
      </c>
      <c r="L93" s="3">
        <f>K93*IFERROR(I93,0)</f>
        <v/>
      </c>
      <c r="M93" s="3">
        <f>K93-L93</f>
        <v/>
      </c>
      <c r="N93">
        <f>IF(OR(G93=0,I93&gt;0.15),"复核","正常")</f>
        <v/>
      </c>
    </row>
    <row r="94">
      <c r="F94" s="2" t="n"/>
      <c r="H94" s="3" t="n"/>
      <c r="I94" s="4" t="n"/>
      <c r="K94" s="3">
        <f>G94*H94</f>
        <v/>
      </c>
      <c r="L94" s="3">
        <f>K94*IFERROR(I94,0)</f>
        <v/>
      </c>
      <c r="M94" s="3">
        <f>K94-L94</f>
        <v/>
      </c>
      <c r="N94">
        <f>IF(OR(G94=0,I94&gt;0.15),"复核","正常")</f>
        <v/>
      </c>
    </row>
    <row r="95">
      <c r="F95" s="2" t="n"/>
      <c r="H95" s="3" t="n"/>
      <c r="I95" s="4" t="n"/>
      <c r="K95" s="3">
        <f>G95*H95</f>
        <v/>
      </c>
      <c r="L95" s="3">
        <f>K95*IFERROR(I95,0)</f>
        <v/>
      </c>
      <c r="M95" s="3">
        <f>K95-L95</f>
        <v/>
      </c>
      <c r="N95">
        <f>IF(OR(G95=0,I95&gt;0.15),"复核","正常")</f>
        <v/>
      </c>
    </row>
    <row r="96">
      <c r="F96" s="2" t="n"/>
      <c r="H96" s="3" t="n"/>
      <c r="I96" s="4" t="n"/>
      <c r="K96" s="3">
        <f>G96*H96</f>
        <v/>
      </c>
      <c r="L96" s="3">
        <f>K96*IFERROR(I96,0)</f>
        <v/>
      </c>
      <c r="M96" s="3">
        <f>K96-L96</f>
        <v/>
      </c>
      <c r="N96">
        <f>IF(OR(G96=0,I96&gt;0.15),"复核","正常")</f>
        <v/>
      </c>
    </row>
    <row r="97">
      <c r="F97" s="2" t="n"/>
      <c r="H97" s="3" t="n"/>
      <c r="I97" s="4" t="n"/>
      <c r="K97" s="3">
        <f>G97*H97</f>
        <v/>
      </c>
      <c r="L97" s="3">
        <f>K97*IFERROR(I97,0)</f>
        <v/>
      </c>
      <c r="M97" s="3">
        <f>K97-L97</f>
        <v/>
      </c>
      <c r="N97">
        <f>IF(OR(G97=0,I97&gt;0.15),"复核","正常")</f>
        <v/>
      </c>
    </row>
    <row r="98">
      <c r="F98" s="2" t="n"/>
      <c r="H98" s="3" t="n"/>
      <c r="I98" s="4" t="n"/>
      <c r="K98" s="3">
        <f>G98*H98</f>
        <v/>
      </c>
      <c r="L98" s="3">
        <f>K98*IFERROR(I98,0)</f>
        <v/>
      </c>
      <c r="M98" s="3">
        <f>K98-L98</f>
        <v/>
      </c>
      <c r="N98">
        <f>IF(OR(G98=0,I98&gt;0.15),"复核","正常")</f>
        <v/>
      </c>
    </row>
    <row r="99">
      <c r="F99" s="2" t="n"/>
      <c r="H99" s="3" t="n"/>
      <c r="I99" s="4" t="n"/>
      <c r="K99" s="3">
        <f>G99*H99</f>
        <v/>
      </c>
      <c r="L99" s="3">
        <f>K99*IFERROR(I99,0)</f>
        <v/>
      </c>
      <c r="M99" s="3">
        <f>K99-L99</f>
        <v/>
      </c>
      <c r="N99">
        <f>IF(OR(G99=0,I99&gt;0.15),"复核","正常")</f>
        <v/>
      </c>
    </row>
    <row r="100">
      <c r="F100" s="2" t="n"/>
      <c r="H100" s="3" t="n"/>
      <c r="I100" s="4" t="n"/>
      <c r="K100" s="3">
        <f>G100*H100</f>
        <v/>
      </c>
      <c r="L100" s="3">
        <f>K100*IFERROR(I100,0)</f>
        <v/>
      </c>
      <c r="M100" s="3">
        <f>K100-L100</f>
        <v/>
      </c>
      <c r="N100">
        <f>IF(OR(G100=0,I100&gt;0.15),"复核","正常")</f>
        <v/>
      </c>
    </row>
    <row r="101">
      <c r="F101" s="2" t="n"/>
      <c r="H101" s="3" t="n"/>
      <c r="I101" s="4" t="n"/>
      <c r="K101" s="3">
        <f>G101*H101</f>
        <v/>
      </c>
      <c r="L101" s="3">
        <f>K101*IFERROR(I101,0)</f>
        <v/>
      </c>
      <c r="M101" s="3">
        <f>K101-L101</f>
        <v/>
      </c>
      <c r="N101">
        <f>IF(OR(G101=0,I101&gt;0.15),"复核","正常")</f>
        <v/>
      </c>
    </row>
    <row r="102">
      <c r="F102" s="2" t="n"/>
      <c r="H102" s="3" t="n"/>
      <c r="I102" s="4" t="n"/>
      <c r="K102" s="3">
        <f>G102*H102</f>
        <v/>
      </c>
      <c r="L102" s="3">
        <f>K102*IFERROR(I102,0)</f>
        <v/>
      </c>
      <c r="M102" s="3">
        <f>K102-L102</f>
        <v/>
      </c>
      <c r="N102">
        <f>IF(OR(G102=0,I102&gt;0.15),"复核","正常")</f>
        <v/>
      </c>
    </row>
    <row r="103">
      <c r="F103" s="2" t="n"/>
      <c r="H103" s="3" t="n"/>
      <c r="I103" s="4" t="n"/>
      <c r="K103" s="3">
        <f>G103*H103</f>
        <v/>
      </c>
      <c r="L103" s="3">
        <f>K103*IFERROR(I103,0)</f>
        <v/>
      </c>
      <c r="M103" s="3">
        <f>K103-L103</f>
        <v/>
      </c>
      <c r="N103">
        <f>IF(OR(G103=0,I103&gt;0.15),"复核","正常")</f>
        <v/>
      </c>
    </row>
    <row r="104">
      <c r="F104" s="2" t="n"/>
      <c r="H104" s="3" t="n"/>
      <c r="I104" s="4" t="n"/>
      <c r="K104" s="3">
        <f>G104*H104</f>
        <v/>
      </c>
      <c r="L104" s="3">
        <f>K104*IFERROR(I104,0)</f>
        <v/>
      </c>
      <c r="M104" s="3">
        <f>K104-L104</f>
        <v/>
      </c>
      <c r="N104">
        <f>IF(OR(G104=0,I104&gt;0.15),"复核","正常")</f>
        <v/>
      </c>
    </row>
    <row r="105">
      <c r="F105" s="2" t="n"/>
      <c r="H105" s="3" t="n"/>
      <c r="I105" s="4" t="n"/>
      <c r="K105" s="3">
        <f>G105*H105</f>
        <v/>
      </c>
      <c r="L105" s="3">
        <f>K105*IFERROR(I105,0)</f>
        <v/>
      </c>
      <c r="M105" s="3">
        <f>K105-L105</f>
        <v/>
      </c>
      <c r="N105">
        <f>IF(OR(G105=0,I105&gt;0.15),"复核","正常")</f>
        <v/>
      </c>
    </row>
    <row r="106">
      <c r="F106" s="2" t="n"/>
      <c r="H106" s="3" t="n"/>
      <c r="I106" s="4" t="n"/>
      <c r="K106" s="3">
        <f>G106*H106</f>
        <v/>
      </c>
      <c r="L106" s="3">
        <f>K106*IFERROR(I106,0)</f>
        <v/>
      </c>
      <c r="M106" s="3">
        <f>K106-L106</f>
        <v/>
      </c>
      <c r="N106">
        <f>IF(OR(G106=0,I106&gt;0.15),"复核","正常")</f>
        <v/>
      </c>
    </row>
    <row r="107">
      <c r="F107" s="2" t="n"/>
      <c r="H107" s="3" t="n"/>
      <c r="I107" s="4" t="n"/>
      <c r="K107" s="3">
        <f>G107*H107</f>
        <v/>
      </c>
      <c r="L107" s="3">
        <f>K107*IFERROR(I107,0)</f>
        <v/>
      </c>
      <c r="M107" s="3">
        <f>K107-L107</f>
        <v/>
      </c>
      <c r="N107">
        <f>IF(OR(G107=0,I107&gt;0.15),"复核","正常")</f>
        <v/>
      </c>
    </row>
    <row r="108">
      <c r="F108" s="2" t="n"/>
      <c r="H108" s="3" t="n"/>
      <c r="I108" s="4" t="n"/>
      <c r="K108" s="3">
        <f>G108*H108</f>
        <v/>
      </c>
      <c r="L108" s="3">
        <f>K108*IFERROR(I108,0)</f>
        <v/>
      </c>
      <c r="M108" s="3">
        <f>K108-L108</f>
        <v/>
      </c>
      <c r="N108">
        <f>IF(OR(G108=0,I108&gt;0.15),"复核","正常")</f>
        <v/>
      </c>
    </row>
    <row r="109">
      <c r="F109" s="2" t="n"/>
      <c r="H109" s="3" t="n"/>
      <c r="I109" s="4" t="n"/>
      <c r="K109" s="3">
        <f>G109*H109</f>
        <v/>
      </c>
      <c r="L109" s="3">
        <f>K109*IFERROR(I109,0)</f>
        <v/>
      </c>
      <c r="M109" s="3">
        <f>K109-L109</f>
        <v/>
      </c>
      <c r="N109">
        <f>IF(OR(G109=0,I109&gt;0.15),"复核","正常")</f>
        <v/>
      </c>
    </row>
    <row r="110">
      <c r="F110" s="2" t="n"/>
      <c r="H110" s="3" t="n"/>
      <c r="I110" s="4" t="n"/>
      <c r="K110" s="3">
        <f>G110*H110</f>
        <v/>
      </c>
      <c r="L110" s="3">
        <f>K110*IFERROR(I110,0)</f>
        <v/>
      </c>
      <c r="M110" s="3">
        <f>K110-L110</f>
        <v/>
      </c>
      <c r="N110">
        <f>IF(OR(G110=0,I110&gt;0.15),"复核","正常")</f>
        <v/>
      </c>
    </row>
    <row r="111">
      <c r="F111" s="2" t="n"/>
      <c r="H111" s="3" t="n"/>
      <c r="I111" s="4" t="n"/>
      <c r="K111" s="3">
        <f>G111*H111</f>
        <v/>
      </c>
      <c r="L111" s="3">
        <f>K111*IFERROR(I111,0)</f>
        <v/>
      </c>
      <c r="M111" s="3">
        <f>K111-L111</f>
        <v/>
      </c>
      <c r="N111">
        <f>IF(OR(G111=0,I111&gt;0.15),"复核","正常")</f>
        <v/>
      </c>
    </row>
    <row r="112">
      <c r="F112" s="2" t="n"/>
      <c r="H112" s="3" t="n"/>
      <c r="I112" s="4" t="n"/>
      <c r="K112" s="3">
        <f>G112*H112</f>
        <v/>
      </c>
      <c r="L112" s="3">
        <f>K112*IFERROR(I112,0)</f>
        <v/>
      </c>
      <c r="M112" s="3">
        <f>K112-L112</f>
        <v/>
      </c>
      <c r="N112">
        <f>IF(OR(G112=0,I112&gt;0.15),"复核","正常")</f>
        <v/>
      </c>
    </row>
    <row r="113">
      <c r="F113" s="2" t="n"/>
      <c r="H113" s="3" t="n"/>
      <c r="I113" s="4" t="n"/>
      <c r="K113" s="3">
        <f>G113*H113</f>
        <v/>
      </c>
      <c r="L113" s="3">
        <f>K113*IFERROR(I113,0)</f>
        <v/>
      </c>
      <c r="M113" s="3">
        <f>K113-L113</f>
        <v/>
      </c>
      <c r="N113">
        <f>IF(OR(G113=0,I113&gt;0.15),"复核","正常")</f>
        <v/>
      </c>
    </row>
    <row r="114">
      <c r="F114" s="2" t="n"/>
      <c r="H114" s="3" t="n"/>
      <c r="I114" s="4" t="n"/>
      <c r="K114" s="3">
        <f>G114*H114</f>
        <v/>
      </c>
      <c r="L114" s="3">
        <f>K114*IFERROR(I114,0)</f>
        <v/>
      </c>
      <c r="M114" s="3">
        <f>K114-L114</f>
        <v/>
      </c>
      <c r="N114">
        <f>IF(OR(G114=0,I114&gt;0.15),"复核","正常")</f>
        <v/>
      </c>
    </row>
    <row r="115">
      <c r="F115" s="2" t="n"/>
      <c r="H115" s="3" t="n"/>
      <c r="I115" s="4" t="n"/>
      <c r="K115" s="3">
        <f>G115*H115</f>
        <v/>
      </c>
      <c r="L115" s="3">
        <f>K115*IFERROR(I115,0)</f>
        <v/>
      </c>
      <c r="M115" s="3">
        <f>K115-L115</f>
        <v/>
      </c>
      <c r="N115">
        <f>IF(OR(G115=0,I115&gt;0.15),"复核","正常")</f>
        <v/>
      </c>
    </row>
    <row r="116">
      <c r="F116" s="2" t="n"/>
      <c r="H116" s="3" t="n"/>
      <c r="I116" s="4" t="n"/>
      <c r="K116" s="3">
        <f>G116*H116</f>
        <v/>
      </c>
      <c r="L116" s="3">
        <f>K116*IFERROR(I116,0)</f>
        <v/>
      </c>
      <c r="M116" s="3">
        <f>K116-L116</f>
        <v/>
      </c>
      <c r="N116">
        <f>IF(OR(G116=0,I116&gt;0.15),"复核","正常")</f>
        <v/>
      </c>
    </row>
    <row r="117">
      <c r="F117" s="2" t="n"/>
      <c r="H117" s="3" t="n"/>
      <c r="I117" s="4" t="n"/>
      <c r="K117" s="3">
        <f>G117*H117</f>
        <v/>
      </c>
      <c r="L117" s="3">
        <f>K117*IFERROR(I117,0)</f>
        <v/>
      </c>
      <c r="M117" s="3">
        <f>K117-L117</f>
        <v/>
      </c>
      <c r="N117">
        <f>IF(OR(G117=0,I117&gt;0.15),"复核","正常")</f>
        <v/>
      </c>
    </row>
    <row r="118">
      <c r="F118" s="2" t="n"/>
      <c r="H118" s="3" t="n"/>
      <c r="I118" s="4" t="n"/>
      <c r="K118" s="3">
        <f>G118*H118</f>
        <v/>
      </c>
      <c r="L118" s="3">
        <f>K118*IFERROR(I118,0)</f>
        <v/>
      </c>
      <c r="M118" s="3">
        <f>K118-L118</f>
        <v/>
      </c>
      <c r="N118">
        <f>IF(OR(G118=0,I118&gt;0.15),"复核","正常")</f>
        <v/>
      </c>
    </row>
    <row r="119">
      <c r="F119" s="2" t="n"/>
      <c r="H119" s="3" t="n"/>
      <c r="I119" s="4" t="n"/>
      <c r="K119" s="3">
        <f>G119*H119</f>
        <v/>
      </c>
      <c r="L119" s="3">
        <f>K119*IFERROR(I119,0)</f>
        <v/>
      </c>
      <c r="M119" s="3">
        <f>K119-L119</f>
        <v/>
      </c>
      <c r="N119">
        <f>IF(OR(G119=0,I119&gt;0.15),"复核","正常")</f>
        <v/>
      </c>
    </row>
    <row r="120">
      <c r="F120" s="2" t="n"/>
      <c r="H120" s="3" t="n"/>
      <c r="I120" s="4" t="n"/>
      <c r="K120" s="3">
        <f>G120*H120</f>
        <v/>
      </c>
      <c r="L120" s="3">
        <f>K120*IFERROR(I120,0)</f>
        <v/>
      </c>
      <c r="M120" s="3">
        <f>K120-L120</f>
        <v/>
      </c>
      <c r="N120">
        <f>IF(OR(G120=0,I120&gt;0.15),"复核","正常")</f>
        <v/>
      </c>
    </row>
    <row r="121">
      <c r="F121" s="2" t="n"/>
      <c r="H121" s="3" t="n"/>
      <c r="I121" s="4" t="n"/>
      <c r="K121" s="3">
        <f>G121*H121</f>
        <v/>
      </c>
      <c r="L121" s="3">
        <f>K121*IFERROR(I121,0)</f>
        <v/>
      </c>
      <c r="M121" s="3">
        <f>K121-L121</f>
        <v/>
      </c>
      <c r="N121">
        <f>IF(OR(G121=0,I121&gt;0.15),"复核","正常")</f>
        <v/>
      </c>
    </row>
    <row r="122">
      <c r="F122" s="2" t="n"/>
      <c r="H122" s="3" t="n"/>
      <c r="I122" s="4" t="n"/>
      <c r="K122" s="3">
        <f>G122*H122</f>
        <v/>
      </c>
      <c r="L122" s="3">
        <f>K122*IFERROR(I122,0)</f>
        <v/>
      </c>
      <c r="M122" s="3">
        <f>K122-L122</f>
        <v/>
      </c>
      <c r="N122">
        <f>IF(OR(G122=0,I122&gt;0.15),"复核","正常")</f>
        <v/>
      </c>
    </row>
    <row r="123">
      <c r="F123" s="2" t="n"/>
      <c r="H123" s="3" t="n"/>
      <c r="I123" s="4" t="n"/>
      <c r="K123" s="3">
        <f>G123*H123</f>
        <v/>
      </c>
      <c r="L123" s="3">
        <f>K123*IFERROR(I123,0)</f>
        <v/>
      </c>
      <c r="M123" s="3">
        <f>K123-L123</f>
        <v/>
      </c>
      <c r="N123">
        <f>IF(OR(G123=0,I123&gt;0.15),"复核","正常")</f>
        <v/>
      </c>
    </row>
    <row r="124">
      <c r="F124" s="2" t="n"/>
      <c r="H124" s="3" t="n"/>
      <c r="I124" s="4" t="n"/>
      <c r="K124" s="3">
        <f>G124*H124</f>
        <v/>
      </c>
      <c r="L124" s="3">
        <f>K124*IFERROR(I124,0)</f>
        <v/>
      </c>
      <c r="M124" s="3">
        <f>K124-L124</f>
        <v/>
      </c>
      <c r="N124">
        <f>IF(OR(G124=0,I124&gt;0.15),"复核","正常")</f>
        <v/>
      </c>
    </row>
    <row r="125">
      <c r="F125" s="2" t="n"/>
      <c r="H125" s="3" t="n"/>
      <c r="I125" s="4" t="n"/>
      <c r="K125" s="3">
        <f>G125*H125</f>
        <v/>
      </c>
      <c r="L125" s="3">
        <f>K125*IFERROR(I125,0)</f>
        <v/>
      </c>
      <c r="M125" s="3">
        <f>K125-L125</f>
        <v/>
      </c>
      <c r="N125">
        <f>IF(OR(G125=0,I125&gt;0.15),"复核","正常")</f>
        <v/>
      </c>
    </row>
    <row r="126">
      <c r="F126" s="2" t="n"/>
      <c r="H126" s="3" t="n"/>
      <c r="I126" s="4" t="n"/>
      <c r="K126" s="3">
        <f>G126*H126</f>
        <v/>
      </c>
      <c r="L126" s="3">
        <f>K126*IFERROR(I126,0)</f>
        <v/>
      </c>
      <c r="M126" s="3">
        <f>K126-L126</f>
        <v/>
      </c>
      <c r="N126">
        <f>IF(OR(G126=0,I126&gt;0.15),"复核","正常")</f>
        <v/>
      </c>
    </row>
    <row r="127">
      <c r="F127" s="2" t="n"/>
      <c r="H127" s="3" t="n"/>
      <c r="I127" s="4" t="n"/>
      <c r="K127" s="3">
        <f>G127*H127</f>
        <v/>
      </c>
      <c r="L127" s="3">
        <f>K127*IFERROR(I127,0)</f>
        <v/>
      </c>
      <c r="M127" s="3">
        <f>K127-L127</f>
        <v/>
      </c>
      <c r="N127">
        <f>IF(OR(G127=0,I127&gt;0.15),"复核","正常")</f>
        <v/>
      </c>
    </row>
    <row r="128">
      <c r="F128" s="2" t="n"/>
      <c r="H128" s="3" t="n"/>
      <c r="I128" s="4" t="n"/>
      <c r="K128" s="3">
        <f>G128*H128</f>
        <v/>
      </c>
      <c r="L128" s="3">
        <f>K128*IFERROR(I128,0)</f>
        <v/>
      </c>
      <c r="M128" s="3">
        <f>K128-L128</f>
        <v/>
      </c>
      <c r="N128">
        <f>IF(OR(G128=0,I128&gt;0.15),"复核","正常")</f>
        <v/>
      </c>
    </row>
    <row r="129">
      <c r="F129" s="2" t="n"/>
      <c r="H129" s="3" t="n"/>
      <c r="I129" s="4" t="n"/>
      <c r="K129" s="3">
        <f>G129*H129</f>
        <v/>
      </c>
      <c r="L129" s="3">
        <f>K129*IFERROR(I129,0)</f>
        <v/>
      </c>
      <c r="M129" s="3">
        <f>K129-L129</f>
        <v/>
      </c>
      <c r="N129">
        <f>IF(OR(G129=0,I129&gt;0.15),"复核","正常")</f>
        <v/>
      </c>
    </row>
    <row r="130">
      <c r="F130" s="2" t="n"/>
      <c r="H130" s="3" t="n"/>
      <c r="I130" s="4" t="n"/>
      <c r="K130" s="3">
        <f>G130*H130</f>
        <v/>
      </c>
      <c r="L130" s="3">
        <f>K130*IFERROR(I130,0)</f>
        <v/>
      </c>
      <c r="M130" s="3">
        <f>K130-L130</f>
        <v/>
      </c>
      <c r="N130">
        <f>IF(OR(G130=0,I130&gt;0.15),"复核","正常")</f>
        <v/>
      </c>
    </row>
    <row r="131">
      <c r="F131" s="2" t="n"/>
      <c r="H131" s="3" t="n"/>
      <c r="I131" s="4" t="n"/>
      <c r="K131" s="3">
        <f>G131*H131</f>
        <v/>
      </c>
      <c r="L131" s="3">
        <f>K131*IFERROR(I131,0)</f>
        <v/>
      </c>
      <c r="M131" s="3">
        <f>K131-L131</f>
        <v/>
      </c>
      <c r="N131">
        <f>IF(OR(G131=0,I131&gt;0.15),"复核","正常")</f>
        <v/>
      </c>
    </row>
    <row r="132">
      <c r="F132" s="2" t="n"/>
      <c r="H132" s="3" t="n"/>
      <c r="I132" s="4" t="n"/>
      <c r="K132" s="3">
        <f>G132*H132</f>
        <v/>
      </c>
      <c r="L132" s="3">
        <f>K132*IFERROR(I132,0)</f>
        <v/>
      </c>
      <c r="M132" s="3">
        <f>K132-L132</f>
        <v/>
      </c>
      <c r="N132">
        <f>IF(OR(G132=0,I132&gt;0.15),"复核","正常")</f>
        <v/>
      </c>
    </row>
    <row r="133">
      <c r="F133" s="2" t="n"/>
      <c r="H133" s="3" t="n"/>
      <c r="I133" s="4" t="n"/>
      <c r="K133" s="3">
        <f>G133*H133</f>
        <v/>
      </c>
      <c r="L133" s="3">
        <f>K133*IFERROR(I133,0)</f>
        <v/>
      </c>
      <c r="M133" s="3">
        <f>K133-L133</f>
        <v/>
      </c>
      <c r="N133">
        <f>IF(OR(G133=0,I133&gt;0.15),"复核","正常")</f>
        <v/>
      </c>
    </row>
    <row r="134">
      <c r="F134" s="2" t="n"/>
      <c r="H134" s="3" t="n"/>
      <c r="I134" s="4" t="n"/>
      <c r="K134" s="3">
        <f>G134*H134</f>
        <v/>
      </c>
      <c r="L134" s="3">
        <f>K134*IFERROR(I134,0)</f>
        <v/>
      </c>
      <c r="M134" s="3">
        <f>K134-L134</f>
        <v/>
      </c>
      <c r="N134">
        <f>IF(OR(G134=0,I134&gt;0.15),"复核","正常")</f>
        <v/>
      </c>
    </row>
    <row r="135">
      <c r="F135" s="2" t="n"/>
      <c r="H135" s="3" t="n"/>
      <c r="I135" s="4" t="n"/>
      <c r="K135" s="3">
        <f>G135*H135</f>
        <v/>
      </c>
      <c r="L135" s="3">
        <f>K135*IFERROR(I135,0)</f>
        <v/>
      </c>
      <c r="M135" s="3">
        <f>K135-L135</f>
        <v/>
      </c>
      <c r="N135">
        <f>IF(OR(G135=0,I135&gt;0.15),"复核","正常")</f>
        <v/>
      </c>
    </row>
    <row r="136">
      <c r="F136" s="2" t="n"/>
      <c r="H136" s="3" t="n"/>
      <c r="I136" s="4" t="n"/>
      <c r="K136" s="3">
        <f>G136*H136</f>
        <v/>
      </c>
      <c r="L136" s="3">
        <f>K136*IFERROR(I136,0)</f>
        <v/>
      </c>
      <c r="M136" s="3">
        <f>K136-L136</f>
        <v/>
      </c>
      <c r="N136">
        <f>IF(OR(G136=0,I136&gt;0.15),"复核","正常")</f>
        <v/>
      </c>
    </row>
    <row r="137">
      <c r="F137" s="2" t="n"/>
      <c r="H137" s="3" t="n"/>
      <c r="I137" s="4" t="n"/>
      <c r="K137" s="3">
        <f>G137*H137</f>
        <v/>
      </c>
      <c r="L137" s="3">
        <f>K137*IFERROR(I137,0)</f>
        <v/>
      </c>
      <c r="M137" s="3">
        <f>K137-L137</f>
        <v/>
      </c>
      <c r="N137">
        <f>IF(OR(G137=0,I137&gt;0.15),"复核","正常")</f>
        <v/>
      </c>
    </row>
    <row r="138">
      <c r="F138" s="2" t="n"/>
      <c r="H138" s="3" t="n"/>
      <c r="I138" s="4" t="n"/>
      <c r="K138" s="3">
        <f>G138*H138</f>
        <v/>
      </c>
      <c r="L138" s="3">
        <f>K138*IFERROR(I138,0)</f>
        <v/>
      </c>
      <c r="M138" s="3">
        <f>K138-L138</f>
        <v/>
      </c>
      <c r="N138">
        <f>IF(OR(G138=0,I138&gt;0.15),"复核","正常")</f>
        <v/>
      </c>
    </row>
    <row r="139">
      <c r="F139" s="2" t="n"/>
      <c r="H139" s="3" t="n"/>
      <c r="I139" s="4" t="n"/>
      <c r="K139" s="3">
        <f>G139*H139</f>
        <v/>
      </c>
      <c r="L139" s="3">
        <f>K139*IFERROR(I139,0)</f>
        <v/>
      </c>
      <c r="M139" s="3">
        <f>K139-L139</f>
        <v/>
      </c>
      <c r="N139">
        <f>IF(OR(G139=0,I139&gt;0.15),"复核","正常")</f>
        <v/>
      </c>
    </row>
    <row r="140">
      <c r="F140" s="2" t="n"/>
      <c r="H140" s="3" t="n"/>
      <c r="I140" s="4" t="n"/>
      <c r="K140" s="3">
        <f>G140*H140</f>
        <v/>
      </c>
      <c r="L140" s="3">
        <f>K140*IFERROR(I140,0)</f>
        <v/>
      </c>
      <c r="M140" s="3">
        <f>K140-L140</f>
        <v/>
      </c>
      <c r="N140">
        <f>IF(OR(G140=0,I140&gt;0.15),"复核","正常")</f>
        <v/>
      </c>
    </row>
    <row r="141">
      <c r="F141" s="2" t="n"/>
      <c r="H141" s="3" t="n"/>
      <c r="I141" s="4" t="n"/>
      <c r="K141" s="3">
        <f>G141*H141</f>
        <v/>
      </c>
      <c r="L141" s="3">
        <f>K141*IFERROR(I141,0)</f>
        <v/>
      </c>
      <c r="M141" s="3">
        <f>K141-L141</f>
        <v/>
      </c>
      <c r="N141">
        <f>IF(OR(G141=0,I141&gt;0.15),"复核","正常")</f>
        <v/>
      </c>
    </row>
    <row r="142">
      <c r="F142" s="2" t="n"/>
      <c r="H142" s="3" t="n"/>
      <c r="I142" s="4" t="n"/>
      <c r="K142" s="3">
        <f>G142*H142</f>
        <v/>
      </c>
      <c r="L142" s="3">
        <f>K142*IFERROR(I142,0)</f>
        <v/>
      </c>
      <c r="M142" s="3">
        <f>K142-L142</f>
        <v/>
      </c>
      <c r="N142">
        <f>IF(OR(G142=0,I142&gt;0.15),"复核","正常")</f>
        <v/>
      </c>
    </row>
    <row r="143">
      <c r="F143" s="2" t="n"/>
      <c r="H143" s="3" t="n"/>
      <c r="I143" s="4" t="n"/>
      <c r="K143" s="3">
        <f>G143*H143</f>
        <v/>
      </c>
      <c r="L143" s="3">
        <f>K143*IFERROR(I143,0)</f>
        <v/>
      </c>
      <c r="M143" s="3">
        <f>K143-L143</f>
        <v/>
      </c>
      <c r="N143">
        <f>IF(OR(G143=0,I143&gt;0.15),"复核","正常")</f>
        <v/>
      </c>
    </row>
    <row r="144">
      <c r="F144" s="2" t="n"/>
      <c r="H144" s="3" t="n"/>
      <c r="I144" s="4" t="n"/>
      <c r="K144" s="3">
        <f>G144*H144</f>
        <v/>
      </c>
      <c r="L144" s="3">
        <f>K144*IFERROR(I144,0)</f>
        <v/>
      </c>
      <c r="M144" s="3">
        <f>K144-L144</f>
        <v/>
      </c>
      <c r="N144">
        <f>IF(OR(G144=0,I144&gt;0.15),"复核","正常")</f>
        <v/>
      </c>
    </row>
    <row r="145">
      <c r="F145" s="2" t="n"/>
      <c r="H145" s="3" t="n"/>
      <c r="I145" s="4" t="n"/>
      <c r="K145" s="3">
        <f>G145*H145</f>
        <v/>
      </c>
      <c r="L145" s="3">
        <f>K145*IFERROR(I145,0)</f>
        <v/>
      </c>
      <c r="M145" s="3">
        <f>K145-L145</f>
        <v/>
      </c>
      <c r="N145">
        <f>IF(OR(G145=0,I145&gt;0.15),"复核","正常")</f>
        <v/>
      </c>
    </row>
    <row r="146">
      <c r="F146" s="2" t="n"/>
      <c r="H146" s="3" t="n"/>
      <c r="I146" s="4" t="n"/>
      <c r="K146" s="3">
        <f>G146*H146</f>
        <v/>
      </c>
      <c r="L146" s="3">
        <f>K146*IFERROR(I146,0)</f>
        <v/>
      </c>
      <c r="M146" s="3">
        <f>K146-L146</f>
        <v/>
      </c>
      <c r="N146">
        <f>IF(OR(G146=0,I146&gt;0.15),"复核","正常")</f>
        <v/>
      </c>
    </row>
    <row r="147">
      <c r="F147" s="2" t="n"/>
      <c r="H147" s="3" t="n"/>
      <c r="I147" s="4" t="n"/>
      <c r="K147" s="3">
        <f>G147*H147</f>
        <v/>
      </c>
      <c r="L147" s="3">
        <f>K147*IFERROR(I147,0)</f>
        <v/>
      </c>
      <c r="M147" s="3">
        <f>K147-L147</f>
        <v/>
      </c>
      <c r="N147">
        <f>IF(OR(G147=0,I147&gt;0.15),"复核","正常")</f>
        <v/>
      </c>
    </row>
    <row r="148">
      <c r="F148" s="2" t="n"/>
      <c r="H148" s="3" t="n"/>
      <c r="I148" s="4" t="n"/>
      <c r="K148" s="3">
        <f>G148*H148</f>
        <v/>
      </c>
      <c r="L148" s="3">
        <f>K148*IFERROR(I148,0)</f>
        <v/>
      </c>
      <c r="M148" s="3">
        <f>K148-L148</f>
        <v/>
      </c>
      <c r="N148">
        <f>IF(OR(G148=0,I148&gt;0.15),"复核","正常")</f>
        <v/>
      </c>
    </row>
    <row r="149">
      <c r="F149" s="2" t="n"/>
      <c r="H149" s="3" t="n"/>
      <c r="I149" s="4" t="n"/>
      <c r="K149" s="3">
        <f>G149*H149</f>
        <v/>
      </c>
      <c r="L149" s="3">
        <f>K149*IFERROR(I149,0)</f>
        <v/>
      </c>
      <c r="M149" s="3">
        <f>K149-L149</f>
        <v/>
      </c>
      <c r="N149">
        <f>IF(OR(G149=0,I149&gt;0.15),"复核","正常")</f>
        <v/>
      </c>
    </row>
    <row r="150">
      <c r="F150" s="2" t="n"/>
      <c r="H150" s="3" t="n"/>
      <c r="I150" s="4" t="n"/>
      <c r="K150" s="3">
        <f>G150*H150</f>
        <v/>
      </c>
      <c r="L150" s="3">
        <f>K150*IFERROR(I150,0)</f>
        <v/>
      </c>
      <c r="M150" s="3">
        <f>K150-L150</f>
        <v/>
      </c>
      <c r="N150">
        <f>IF(OR(G150=0,I150&gt;0.15),"复核","正常")</f>
        <v/>
      </c>
    </row>
    <row r="151">
      <c r="F151" s="2" t="n"/>
      <c r="H151" s="3" t="n"/>
      <c r="I151" s="4" t="n"/>
      <c r="K151" s="3">
        <f>G151*H151</f>
        <v/>
      </c>
      <c r="L151" s="3">
        <f>K151*IFERROR(I151,0)</f>
        <v/>
      </c>
      <c r="M151" s="3">
        <f>K151-L151</f>
        <v/>
      </c>
      <c r="N151">
        <f>IF(OR(G151=0,I151&gt;0.15),"复核","正常")</f>
        <v/>
      </c>
    </row>
    <row r="152">
      <c r="F152" s="2" t="n"/>
      <c r="H152" s="3" t="n"/>
      <c r="I152" s="4" t="n"/>
      <c r="K152" s="3">
        <f>G152*H152</f>
        <v/>
      </c>
      <c r="L152" s="3">
        <f>K152*IFERROR(I152,0)</f>
        <v/>
      </c>
      <c r="M152" s="3">
        <f>K152-L152</f>
        <v/>
      </c>
      <c r="N152">
        <f>IF(OR(G152=0,I152&gt;0.15),"复核","正常")</f>
        <v/>
      </c>
    </row>
    <row r="153">
      <c r="F153" s="2" t="n"/>
      <c r="H153" s="3" t="n"/>
      <c r="I153" s="4" t="n"/>
      <c r="K153" s="3">
        <f>G153*H153</f>
        <v/>
      </c>
      <c r="L153" s="3">
        <f>K153*IFERROR(I153,0)</f>
        <v/>
      </c>
      <c r="M153" s="3">
        <f>K153-L153</f>
        <v/>
      </c>
      <c r="N153">
        <f>IF(OR(G153=0,I153&gt;0.15),"复核","正常")</f>
        <v/>
      </c>
    </row>
    <row r="154">
      <c r="F154" s="2" t="n"/>
      <c r="H154" s="3" t="n"/>
      <c r="I154" s="4" t="n"/>
      <c r="K154" s="3">
        <f>G154*H154</f>
        <v/>
      </c>
      <c r="L154" s="3">
        <f>K154*IFERROR(I154,0)</f>
        <v/>
      </c>
      <c r="M154" s="3">
        <f>K154-L154</f>
        <v/>
      </c>
      <c r="N154">
        <f>IF(OR(G154=0,I154&gt;0.15),"复核","正常")</f>
        <v/>
      </c>
    </row>
    <row r="155">
      <c r="F155" s="2" t="n"/>
      <c r="H155" s="3" t="n"/>
      <c r="I155" s="4" t="n"/>
      <c r="K155" s="3">
        <f>G155*H155</f>
        <v/>
      </c>
      <c r="L155" s="3">
        <f>K155*IFERROR(I155,0)</f>
        <v/>
      </c>
      <c r="M155" s="3">
        <f>K155-L155</f>
        <v/>
      </c>
      <c r="N155">
        <f>IF(OR(G155=0,I155&gt;0.15),"复核","正常")</f>
        <v/>
      </c>
    </row>
    <row r="156">
      <c r="F156" s="2" t="n"/>
      <c r="H156" s="3" t="n"/>
      <c r="I156" s="4" t="n"/>
      <c r="K156" s="3">
        <f>G156*H156</f>
        <v/>
      </c>
      <c r="L156" s="3">
        <f>K156*IFERROR(I156,0)</f>
        <v/>
      </c>
      <c r="M156" s="3">
        <f>K156-L156</f>
        <v/>
      </c>
      <c r="N156">
        <f>IF(OR(G156=0,I156&gt;0.15),"复核","正常")</f>
        <v/>
      </c>
    </row>
    <row r="157">
      <c r="F157" s="2" t="n"/>
      <c r="H157" s="3" t="n"/>
      <c r="I157" s="4" t="n"/>
      <c r="K157" s="3">
        <f>G157*H157</f>
        <v/>
      </c>
      <c r="L157" s="3">
        <f>K157*IFERROR(I157,0)</f>
        <v/>
      </c>
      <c r="M157" s="3">
        <f>K157-L157</f>
        <v/>
      </c>
      <c r="N157">
        <f>IF(OR(G157=0,I157&gt;0.15),"复核","正常")</f>
        <v/>
      </c>
    </row>
    <row r="158">
      <c r="F158" s="2" t="n"/>
      <c r="H158" s="3" t="n"/>
      <c r="I158" s="4" t="n"/>
      <c r="K158" s="3">
        <f>G158*H158</f>
        <v/>
      </c>
      <c r="L158" s="3">
        <f>K158*IFERROR(I158,0)</f>
        <v/>
      </c>
      <c r="M158" s="3">
        <f>K158-L158</f>
        <v/>
      </c>
      <c r="N158">
        <f>IF(OR(G158=0,I158&gt;0.15),"复核","正常")</f>
        <v/>
      </c>
    </row>
    <row r="159">
      <c r="F159" s="2" t="n"/>
      <c r="H159" s="3" t="n"/>
      <c r="I159" s="4" t="n"/>
      <c r="K159" s="3">
        <f>G159*H159</f>
        <v/>
      </c>
      <c r="L159" s="3">
        <f>K159*IFERROR(I159,0)</f>
        <v/>
      </c>
      <c r="M159" s="3">
        <f>K159-L159</f>
        <v/>
      </c>
      <c r="N159">
        <f>IF(OR(G159=0,I159&gt;0.15),"复核","正常")</f>
        <v/>
      </c>
    </row>
    <row r="160">
      <c r="F160" s="2" t="n"/>
      <c r="H160" s="3" t="n"/>
      <c r="I160" s="4" t="n"/>
      <c r="K160" s="3">
        <f>G160*H160</f>
        <v/>
      </c>
      <c r="L160" s="3">
        <f>K160*IFERROR(I160,0)</f>
        <v/>
      </c>
      <c r="M160" s="3">
        <f>K160-L160</f>
        <v/>
      </c>
      <c r="N160">
        <f>IF(OR(G160=0,I160&gt;0.15),"复核","正常")</f>
        <v/>
      </c>
    </row>
    <row r="161">
      <c r="F161" s="2" t="n"/>
      <c r="H161" s="3" t="n"/>
      <c r="I161" s="4" t="n"/>
      <c r="K161" s="3">
        <f>G161*H161</f>
        <v/>
      </c>
      <c r="L161" s="3">
        <f>K161*IFERROR(I161,0)</f>
        <v/>
      </c>
      <c r="M161" s="3">
        <f>K161-L161</f>
        <v/>
      </c>
      <c r="N161">
        <f>IF(OR(G161=0,I161&gt;0.15),"复核","正常")</f>
        <v/>
      </c>
    </row>
    <row r="162">
      <c r="F162" s="2" t="n"/>
      <c r="H162" s="3" t="n"/>
      <c r="I162" s="4" t="n"/>
      <c r="K162" s="3">
        <f>G162*H162</f>
        <v/>
      </c>
      <c r="L162" s="3">
        <f>K162*IFERROR(I162,0)</f>
        <v/>
      </c>
      <c r="M162" s="3">
        <f>K162-L162</f>
        <v/>
      </c>
      <c r="N162">
        <f>IF(OR(G162=0,I162&gt;0.15),"复核","正常")</f>
        <v/>
      </c>
    </row>
    <row r="163">
      <c r="F163" s="2" t="n"/>
      <c r="H163" s="3" t="n"/>
      <c r="I163" s="4" t="n"/>
      <c r="K163" s="3">
        <f>G163*H163</f>
        <v/>
      </c>
      <c r="L163" s="3">
        <f>K163*IFERROR(I163,0)</f>
        <v/>
      </c>
      <c r="M163" s="3">
        <f>K163-L163</f>
        <v/>
      </c>
      <c r="N163">
        <f>IF(OR(G163=0,I163&gt;0.15),"复核","正常")</f>
        <v/>
      </c>
    </row>
    <row r="164">
      <c r="F164" s="2" t="n"/>
      <c r="H164" s="3" t="n"/>
      <c r="I164" s="4" t="n"/>
      <c r="K164" s="3">
        <f>G164*H164</f>
        <v/>
      </c>
      <c r="L164" s="3">
        <f>K164*IFERROR(I164,0)</f>
        <v/>
      </c>
      <c r="M164" s="3">
        <f>K164-L164</f>
        <v/>
      </c>
      <c r="N164">
        <f>IF(OR(G164=0,I164&gt;0.15),"复核","正常")</f>
        <v/>
      </c>
    </row>
    <row r="165">
      <c r="F165" s="2" t="n"/>
      <c r="H165" s="3" t="n"/>
      <c r="I165" s="4" t="n"/>
      <c r="K165" s="3">
        <f>G165*H165</f>
        <v/>
      </c>
      <c r="L165" s="3">
        <f>K165*IFERROR(I165,0)</f>
        <v/>
      </c>
      <c r="M165" s="3">
        <f>K165-L165</f>
        <v/>
      </c>
      <c r="N165">
        <f>IF(OR(G165=0,I165&gt;0.15),"复核","正常")</f>
        <v/>
      </c>
    </row>
    <row r="166">
      <c r="F166" s="2" t="n"/>
      <c r="H166" s="3" t="n"/>
      <c r="I166" s="4" t="n"/>
      <c r="K166" s="3">
        <f>G166*H166</f>
        <v/>
      </c>
      <c r="L166" s="3">
        <f>K166*IFERROR(I166,0)</f>
        <v/>
      </c>
      <c r="M166" s="3">
        <f>K166-L166</f>
        <v/>
      </c>
      <c r="N166">
        <f>IF(OR(G166=0,I166&gt;0.15),"复核","正常")</f>
        <v/>
      </c>
    </row>
    <row r="167">
      <c r="F167" s="2" t="n"/>
      <c r="H167" s="3" t="n"/>
      <c r="I167" s="4" t="n"/>
      <c r="K167" s="3">
        <f>G167*H167</f>
        <v/>
      </c>
      <c r="L167" s="3">
        <f>K167*IFERROR(I167,0)</f>
        <v/>
      </c>
      <c r="M167" s="3">
        <f>K167-L167</f>
        <v/>
      </c>
      <c r="N167">
        <f>IF(OR(G167=0,I167&gt;0.15),"复核","正常")</f>
        <v/>
      </c>
    </row>
    <row r="168">
      <c r="F168" s="2" t="n"/>
      <c r="H168" s="3" t="n"/>
      <c r="I168" s="4" t="n"/>
      <c r="K168" s="3">
        <f>G168*H168</f>
        <v/>
      </c>
      <c r="L168" s="3">
        <f>K168*IFERROR(I168,0)</f>
        <v/>
      </c>
      <c r="M168" s="3">
        <f>K168-L168</f>
        <v/>
      </c>
      <c r="N168">
        <f>IF(OR(G168=0,I168&gt;0.15),"复核","正常")</f>
        <v/>
      </c>
    </row>
    <row r="169">
      <c r="F169" s="2" t="n"/>
      <c r="H169" s="3" t="n"/>
      <c r="I169" s="4" t="n"/>
      <c r="K169" s="3">
        <f>G169*H169</f>
        <v/>
      </c>
      <c r="L169" s="3">
        <f>K169*IFERROR(I169,0)</f>
        <v/>
      </c>
      <c r="M169" s="3">
        <f>K169-L169</f>
        <v/>
      </c>
      <c r="N169">
        <f>IF(OR(G169=0,I169&gt;0.15),"复核","正常")</f>
        <v/>
      </c>
    </row>
    <row r="170">
      <c r="F170" s="2" t="n"/>
      <c r="H170" s="3" t="n"/>
      <c r="I170" s="4" t="n"/>
      <c r="K170" s="3">
        <f>G170*H170</f>
        <v/>
      </c>
      <c r="L170" s="3">
        <f>K170*IFERROR(I170,0)</f>
        <v/>
      </c>
      <c r="M170" s="3">
        <f>K170-L170</f>
        <v/>
      </c>
      <c r="N170">
        <f>IF(OR(G170=0,I170&gt;0.15),"复核","正常")</f>
        <v/>
      </c>
    </row>
    <row r="171">
      <c r="F171" s="2" t="n"/>
      <c r="H171" s="3" t="n"/>
      <c r="I171" s="4" t="n"/>
      <c r="K171" s="3">
        <f>G171*H171</f>
        <v/>
      </c>
      <c r="L171" s="3">
        <f>K171*IFERROR(I171,0)</f>
        <v/>
      </c>
      <c r="M171" s="3">
        <f>K171-L171</f>
        <v/>
      </c>
      <c r="N171">
        <f>IF(OR(G171=0,I171&gt;0.15),"复核","正常")</f>
        <v/>
      </c>
    </row>
    <row r="172">
      <c r="F172" s="2" t="n"/>
      <c r="H172" s="3" t="n"/>
      <c r="I172" s="4" t="n"/>
      <c r="K172" s="3">
        <f>G172*H172</f>
        <v/>
      </c>
      <c r="L172" s="3">
        <f>K172*IFERROR(I172,0)</f>
        <v/>
      </c>
      <c r="M172" s="3">
        <f>K172-L172</f>
        <v/>
      </c>
      <c r="N172">
        <f>IF(OR(G172=0,I172&gt;0.15),"复核","正常")</f>
        <v/>
      </c>
    </row>
    <row r="173">
      <c r="F173" s="2" t="n"/>
      <c r="H173" s="3" t="n"/>
      <c r="I173" s="4" t="n"/>
      <c r="K173" s="3">
        <f>G173*H173</f>
        <v/>
      </c>
      <c r="L173" s="3">
        <f>K173*IFERROR(I173,0)</f>
        <v/>
      </c>
      <c r="M173" s="3">
        <f>K173-L173</f>
        <v/>
      </c>
      <c r="N173">
        <f>IF(OR(G173=0,I173&gt;0.15),"复核","正常")</f>
        <v/>
      </c>
    </row>
    <row r="174">
      <c r="F174" s="2" t="n"/>
      <c r="H174" s="3" t="n"/>
      <c r="I174" s="4" t="n"/>
      <c r="K174" s="3">
        <f>G174*H174</f>
        <v/>
      </c>
      <c r="L174" s="3">
        <f>K174*IFERROR(I174,0)</f>
        <v/>
      </c>
      <c r="M174" s="3">
        <f>K174-L174</f>
        <v/>
      </c>
      <c r="N174">
        <f>IF(OR(G174=0,I174&gt;0.15),"复核","正常")</f>
        <v/>
      </c>
    </row>
    <row r="175">
      <c r="F175" s="2" t="n"/>
      <c r="H175" s="3" t="n"/>
      <c r="I175" s="4" t="n"/>
      <c r="K175" s="3">
        <f>G175*H175</f>
        <v/>
      </c>
      <c r="L175" s="3">
        <f>K175*IFERROR(I175,0)</f>
        <v/>
      </c>
      <c r="M175" s="3">
        <f>K175-L175</f>
        <v/>
      </c>
      <c r="N175">
        <f>IF(OR(G175=0,I175&gt;0.15),"复核","正常")</f>
        <v/>
      </c>
    </row>
    <row r="176">
      <c r="F176" s="2" t="n"/>
      <c r="H176" s="3" t="n"/>
      <c r="I176" s="4" t="n"/>
      <c r="K176" s="3">
        <f>G176*H176</f>
        <v/>
      </c>
      <c r="L176" s="3">
        <f>K176*IFERROR(I176,0)</f>
        <v/>
      </c>
      <c r="M176" s="3">
        <f>K176-L176</f>
        <v/>
      </c>
      <c r="N176">
        <f>IF(OR(G176=0,I176&gt;0.15),"复核","正常")</f>
        <v/>
      </c>
    </row>
    <row r="177">
      <c r="F177" s="2" t="n"/>
      <c r="H177" s="3" t="n"/>
      <c r="I177" s="4" t="n"/>
      <c r="K177" s="3">
        <f>G177*H177</f>
        <v/>
      </c>
      <c r="L177" s="3">
        <f>K177*IFERROR(I177,0)</f>
        <v/>
      </c>
      <c r="M177" s="3">
        <f>K177-L177</f>
        <v/>
      </c>
      <c r="N177">
        <f>IF(OR(G177=0,I177&gt;0.15),"复核","正常")</f>
        <v/>
      </c>
    </row>
    <row r="178">
      <c r="F178" s="2" t="n"/>
      <c r="H178" s="3" t="n"/>
      <c r="I178" s="4" t="n"/>
      <c r="K178" s="3">
        <f>G178*H178</f>
        <v/>
      </c>
      <c r="L178" s="3">
        <f>K178*IFERROR(I178,0)</f>
        <v/>
      </c>
      <c r="M178" s="3">
        <f>K178-L178</f>
        <v/>
      </c>
      <c r="N178">
        <f>IF(OR(G178=0,I178&gt;0.15),"复核","正常")</f>
        <v/>
      </c>
    </row>
    <row r="179">
      <c r="F179" s="2" t="n"/>
      <c r="H179" s="3" t="n"/>
      <c r="I179" s="4" t="n"/>
      <c r="K179" s="3">
        <f>G179*H179</f>
        <v/>
      </c>
      <c r="L179" s="3">
        <f>K179*IFERROR(I179,0)</f>
        <v/>
      </c>
      <c r="M179" s="3">
        <f>K179-L179</f>
        <v/>
      </c>
      <c r="N179">
        <f>IF(OR(G179=0,I179&gt;0.15),"复核","正常")</f>
        <v/>
      </c>
    </row>
    <row r="180">
      <c r="F180" s="2" t="n"/>
      <c r="H180" s="3" t="n"/>
      <c r="I180" s="4" t="n"/>
      <c r="K180" s="3">
        <f>G180*H180</f>
        <v/>
      </c>
      <c r="L180" s="3">
        <f>K180*IFERROR(I180,0)</f>
        <v/>
      </c>
      <c r="M180" s="3">
        <f>K180-L180</f>
        <v/>
      </c>
      <c r="N180">
        <f>IF(OR(G180=0,I180&gt;0.15),"复核","正常")</f>
        <v/>
      </c>
    </row>
    <row r="181">
      <c r="F181" s="2" t="n"/>
      <c r="H181" s="3" t="n"/>
      <c r="I181" s="4" t="n"/>
      <c r="K181" s="3">
        <f>G181*H181</f>
        <v/>
      </c>
      <c r="L181" s="3">
        <f>K181*IFERROR(I181,0)</f>
        <v/>
      </c>
      <c r="M181" s="3">
        <f>K181-L181</f>
        <v/>
      </c>
      <c r="N181">
        <f>IF(OR(G181=0,I181&gt;0.15),"复核","正常")</f>
        <v/>
      </c>
    </row>
    <row r="182">
      <c r="F182" s="2" t="n"/>
      <c r="H182" s="3" t="n"/>
      <c r="I182" s="4" t="n"/>
      <c r="K182" s="3">
        <f>G182*H182</f>
        <v/>
      </c>
      <c r="L182" s="3">
        <f>K182*IFERROR(I182,0)</f>
        <v/>
      </c>
      <c r="M182" s="3">
        <f>K182-L182</f>
        <v/>
      </c>
      <c r="N182">
        <f>IF(OR(G182=0,I182&gt;0.15),"复核","正常")</f>
        <v/>
      </c>
    </row>
    <row r="183">
      <c r="F183" s="2" t="n"/>
      <c r="H183" s="3" t="n"/>
      <c r="I183" s="4" t="n"/>
      <c r="K183" s="3">
        <f>G183*H183</f>
        <v/>
      </c>
      <c r="L183" s="3">
        <f>K183*IFERROR(I183,0)</f>
        <v/>
      </c>
      <c r="M183" s="3">
        <f>K183-L183</f>
        <v/>
      </c>
      <c r="N183">
        <f>IF(OR(G183=0,I183&gt;0.15),"复核","正常")</f>
        <v/>
      </c>
    </row>
    <row r="184">
      <c r="F184" s="2" t="n"/>
      <c r="H184" s="3" t="n"/>
      <c r="I184" s="4" t="n"/>
      <c r="K184" s="3">
        <f>G184*H184</f>
        <v/>
      </c>
      <c r="L184" s="3">
        <f>K184*IFERROR(I184,0)</f>
        <v/>
      </c>
      <c r="M184" s="3">
        <f>K184-L184</f>
        <v/>
      </c>
      <c r="N184">
        <f>IF(OR(G184=0,I184&gt;0.15),"复核","正常")</f>
        <v/>
      </c>
    </row>
    <row r="185">
      <c r="F185" s="2" t="n"/>
      <c r="H185" s="3" t="n"/>
      <c r="I185" s="4" t="n"/>
      <c r="K185" s="3">
        <f>G185*H185</f>
        <v/>
      </c>
      <c r="L185" s="3">
        <f>K185*IFERROR(I185,0)</f>
        <v/>
      </c>
      <c r="M185" s="3">
        <f>K185-L185</f>
        <v/>
      </c>
      <c r="N185">
        <f>IF(OR(G185=0,I185&gt;0.15),"复核","正常")</f>
        <v/>
      </c>
    </row>
    <row r="186">
      <c r="F186" s="2" t="n"/>
      <c r="H186" s="3" t="n"/>
      <c r="I186" s="4" t="n"/>
      <c r="K186" s="3">
        <f>G186*H186</f>
        <v/>
      </c>
      <c r="L186" s="3">
        <f>K186*IFERROR(I186,0)</f>
        <v/>
      </c>
      <c r="M186" s="3">
        <f>K186-L186</f>
        <v/>
      </c>
      <c r="N186">
        <f>IF(OR(G186=0,I186&gt;0.15),"复核","正常")</f>
        <v/>
      </c>
    </row>
    <row r="187">
      <c r="F187" s="2" t="n"/>
      <c r="H187" s="3" t="n"/>
      <c r="I187" s="4" t="n"/>
      <c r="K187" s="3">
        <f>G187*H187</f>
        <v/>
      </c>
      <c r="L187" s="3">
        <f>K187*IFERROR(I187,0)</f>
        <v/>
      </c>
      <c r="M187" s="3">
        <f>K187-L187</f>
        <v/>
      </c>
      <c r="N187">
        <f>IF(OR(G187=0,I187&gt;0.15),"复核","正常")</f>
        <v/>
      </c>
    </row>
    <row r="188">
      <c r="F188" s="2" t="n"/>
      <c r="H188" s="3" t="n"/>
      <c r="I188" s="4" t="n"/>
      <c r="K188" s="3">
        <f>G188*H188</f>
        <v/>
      </c>
      <c r="L188" s="3">
        <f>K188*IFERROR(I188,0)</f>
        <v/>
      </c>
      <c r="M188" s="3">
        <f>K188-L188</f>
        <v/>
      </c>
      <c r="N188">
        <f>IF(OR(G188=0,I188&gt;0.15),"复核","正常")</f>
        <v/>
      </c>
    </row>
    <row r="189">
      <c r="F189" s="2" t="n"/>
      <c r="H189" s="3" t="n"/>
      <c r="I189" s="4" t="n"/>
      <c r="K189" s="3">
        <f>G189*H189</f>
        <v/>
      </c>
      <c r="L189" s="3">
        <f>K189*IFERROR(I189,0)</f>
        <v/>
      </c>
      <c r="M189" s="3">
        <f>K189-L189</f>
        <v/>
      </c>
      <c r="N189">
        <f>IF(OR(G189=0,I189&gt;0.15),"复核","正常")</f>
        <v/>
      </c>
    </row>
    <row r="190">
      <c r="F190" s="2" t="n"/>
      <c r="H190" s="3" t="n"/>
      <c r="I190" s="4" t="n"/>
      <c r="K190" s="3">
        <f>G190*H190</f>
        <v/>
      </c>
      <c r="L190" s="3">
        <f>K190*IFERROR(I190,0)</f>
        <v/>
      </c>
      <c r="M190" s="3">
        <f>K190-L190</f>
        <v/>
      </c>
      <c r="N190">
        <f>IF(OR(G190=0,I190&gt;0.15),"复核","正常")</f>
        <v/>
      </c>
    </row>
    <row r="191">
      <c r="F191" s="2" t="n"/>
      <c r="H191" s="3" t="n"/>
      <c r="I191" s="4" t="n"/>
      <c r="K191" s="3">
        <f>G191*H191</f>
        <v/>
      </c>
      <c r="L191" s="3">
        <f>K191*IFERROR(I191,0)</f>
        <v/>
      </c>
      <c r="M191" s="3">
        <f>K191-L191</f>
        <v/>
      </c>
      <c r="N191">
        <f>IF(OR(G191=0,I191&gt;0.15),"复核","正常")</f>
        <v/>
      </c>
    </row>
    <row r="192">
      <c r="F192" s="2" t="n"/>
      <c r="H192" s="3" t="n"/>
      <c r="I192" s="4" t="n"/>
      <c r="K192" s="3">
        <f>G192*H192</f>
        <v/>
      </c>
      <c r="L192" s="3">
        <f>K192*IFERROR(I192,0)</f>
        <v/>
      </c>
      <c r="M192" s="3">
        <f>K192-L192</f>
        <v/>
      </c>
      <c r="N192">
        <f>IF(OR(G192=0,I192&gt;0.15),"复核","正常")</f>
        <v/>
      </c>
    </row>
    <row r="193">
      <c r="F193" s="2" t="n"/>
      <c r="H193" s="3" t="n"/>
      <c r="I193" s="4" t="n"/>
      <c r="K193" s="3">
        <f>G193*H193</f>
        <v/>
      </c>
      <c r="L193" s="3">
        <f>K193*IFERROR(I193,0)</f>
        <v/>
      </c>
      <c r="M193" s="3">
        <f>K193-L193</f>
        <v/>
      </c>
      <c r="N193">
        <f>IF(OR(G193=0,I193&gt;0.15),"复核","正常")</f>
        <v/>
      </c>
    </row>
    <row r="194">
      <c r="F194" s="2" t="n"/>
      <c r="H194" s="3" t="n"/>
      <c r="I194" s="4" t="n"/>
      <c r="K194" s="3">
        <f>G194*H194</f>
        <v/>
      </c>
      <c r="L194" s="3">
        <f>K194*IFERROR(I194,0)</f>
        <v/>
      </c>
      <c r="M194" s="3">
        <f>K194-L194</f>
        <v/>
      </c>
      <c r="N194">
        <f>IF(OR(G194=0,I194&gt;0.15),"复核","正常")</f>
        <v/>
      </c>
    </row>
    <row r="195">
      <c r="F195" s="2" t="n"/>
      <c r="H195" s="3" t="n"/>
      <c r="I195" s="4" t="n"/>
      <c r="K195" s="3">
        <f>G195*H195</f>
        <v/>
      </c>
      <c r="L195" s="3">
        <f>K195*IFERROR(I195,0)</f>
        <v/>
      </c>
      <c r="M195" s="3">
        <f>K195-L195</f>
        <v/>
      </c>
      <c r="N195">
        <f>IF(OR(G195=0,I195&gt;0.15),"复核","正常")</f>
        <v/>
      </c>
    </row>
    <row r="196">
      <c r="F196" s="2" t="n"/>
      <c r="H196" s="3" t="n"/>
      <c r="I196" s="4" t="n"/>
      <c r="K196" s="3">
        <f>G196*H196</f>
        <v/>
      </c>
      <c r="L196" s="3">
        <f>K196*IFERROR(I196,0)</f>
        <v/>
      </c>
      <c r="M196" s="3">
        <f>K196-L196</f>
        <v/>
      </c>
      <c r="N196">
        <f>IF(OR(G196=0,I196&gt;0.15),"复核","正常")</f>
        <v/>
      </c>
    </row>
    <row r="197">
      <c r="F197" s="2" t="n"/>
      <c r="H197" s="3" t="n"/>
      <c r="I197" s="4" t="n"/>
      <c r="K197" s="3">
        <f>G197*H197</f>
        <v/>
      </c>
      <c r="L197" s="3">
        <f>K197*IFERROR(I197,0)</f>
        <v/>
      </c>
      <c r="M197" s="3">
        <f>K197-L197</f>
        <v/>
      </c>
      <c r="N197">
        <f>IF(OR(G197=0,I197&gt;0.15),"复核","正常")</f>
        <v/>
      </c>
    </row>
    <row r="198">
      <c r="F198" s="2" t="n"/>
      <c r="H198" s="3" t="n"/>
      <c r="I198" s="4" t="n"/>
      <c r="K198" s="3">
        <f>G198*H198</f>
        <v/>
      </c>
      <c r="L198" s="3">
        <f>K198*IFERROR(I198,0)</f>
        <v/>
      </c>
      <c r="M198" s="3">
        <f>K198-L198</f>
        <v/>
      </c>
      <c r="N198">
        <f>IF(OR(G198=0,I198&gt;0.15),"复核","正常")</f>
        <v/>
      </c>
    </row>
    <row r="199">
      <c r="F199" s="2" t="n"/>
      <c r="H199" s="3" t="n"/>
      <c r="I199" s="4" t="n"/>
      <c r="K199" s="3">
        <f>G199*H199</f>
        <v/>
      </c>
      <c r="L199" s="3">
        <f>K199*IFERROR(I199,0)</f>
        <v/>
      </c>
      <c r="M199" s="3">
        <f>K199-L199</f>
        <v/>
      </c>
      <c r="N199">
        <f>IF(OR(G199=0,I199&gt;0.15),"复核","正常")</f>
        <v/>
      </c>
    </row>
    <row r="200">
      <c r="F200" s="2" t="n"/>
      <c r="H200" s="3" t="n"/>
      <c r="I200" s="4" t="n"/>
      <c r="K200" s="3">
        <f>G200*H200</f>
        <v/>
      </c>
      <c r="L200" s="3">
        <f>K200*IFERROR(I200,0)</f>
        <v/>
      </c>
      <c r="M200" s="3">
        <f>K200-L200</f>
        <v/>
      </c>
      <c r="N200">
        <f>IF(OR(G200=0,I200&gt;0.15),"复核","正常")</f>
        <v/>
      </c>
    </row>
    <row r="201">
      <c r="F201" s="2" t="n"/>
      <c r="H201" s="3" t="n"/>
      <c r="I201" s="4" t="n"/>
      <c r="K201" s="3">
        <f>G201*H201</f>
        <v/>
      </c>
      <c r="L201" s="3">
        <f>K201*IFERROR(I201,0)</f>
        <v/>
      </c>
      <c r="M201" s="3">
        <f>K201-L201</f>
        <v/>
      </c>
      <c r="N201">
        <f>IF(OR(G201=0,I201&gt;0.15),"复核","正常")</f>
        <v/>
      </c>
    </row>
  </sheetData>
  <autoFilter ref="A1:O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</cols>
  <sheetData>
    <row r="1">
      <c r="A1" s="1" t="inlineStr">
        <is>
          <t>region</t>
        </is>
      </c>
      <c r="B1" s="1" t="inlineStr">
        <is>
          <t>total_net_amount</t>
        </is>
      </c>
      <c r="C1" s="1" t="inlineStr">
        <is>
          <t>order_count</t>
        </is>
      </c>
    </row>
    <row r="2">
      <c r="A2" t="inlineStr">
        <is>
          <t>华东</t>
        </is>
      </c>
      <c r="B2">
        <f>SUMIF(销售明细!D$2:D$201,A2,销售明细!M$2:M$201)</f>
        <v/>
      </c>
      <c r="C2">
        <f>COUNTIF(销售明细!D$2:D$201,A2)</f>
        <v/>
      </c>
    </row>
    <row r="3">
      <c r="A3" t="inlineStr">
        <is>
          <t>华南</t>
        </is>
      </c>
      <c r="B3">
        <f>SUMIF(销售明细!D$2:D$201,A3,销售明细!M$2:M$201)</f>
        <v/>
      </c>
      <c r="C3">
        <f>COUNTIF(销售明细!D$2:D$201,A3)</f>
        <v/>
      </c>
    </row>
    <row r="4">
      <c r="A4" t="inlineStr">
        <is>
          <t>华北</t>
        </is>
      </c>
      <c r="B4">
        <f>SUMIF(销售明细!D$2:D$201,A4,销售明细!M$2:M$201)</f>
        <v/>
      </c>
      <c r="C4">
        <f>COUNTIF(销售明细!D$2:D$201,A4)</f>
        <v/>
      </c>
    </row>
    <row r="5">
      <c r="A5" t="inlineStr">
        <is>
          <t>西南</t>
        </is>
      </c>
      <c r="B5">
        <f>SUMIF(销售明细!D$2:D$201,A5,销售明细!M$2:M$201)</f>
        <v/>
      </c>
      <c r="C5">
        <f>COUNTIF(销售明细!D$2:D$201,A5)</f>
        <v/>
      </c>
    </row>
    <row r="6">
      <c r="A6" t="inlineStr">
        <is>
          <t>西北</t>
        </is>
      </c>
      <c r="B6">
        <f>SUMIF(销售明细!D$2:D$201,A6,销售明细!M$2:M$201)</f>
        <v/>
      </c>
      <c r="C6">
        <f>COUNTIF(销售明细!D$2:D$201,A6)</f>
        <v/>
      </c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2026-08-18T10:06:08Z</dcterms:created>
  <dcterms:modified xmlns:dcterms="http://purl.org/dc/terms/" xmlns:xsi="http://www.w3.org/2001/XMLSchema-instance" xsi:type="dcterms:W3CDTF">2026-08-18T10:06:08Z</dcterms:modified>
</cp:coreProperties>
</file>